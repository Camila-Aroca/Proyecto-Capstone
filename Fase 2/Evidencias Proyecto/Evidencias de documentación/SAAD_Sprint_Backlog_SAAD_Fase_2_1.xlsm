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sumen" sheetId="1" r:id="rId4"/>
    <sheet state="visible" name="Sprint Backlog" sheetId="2" r:id="rId5"/>
    <sheet state="visible" name="Vista diagrama" sheetId="3" r:id="rId6"/>
  </sheets>
  <definedNames>
    <definedName hidden="1" localSheetId="1" name="Z_FF690A6A_5EC6_414C_9B61_4854A407024F_.wvu.FilterData">'Sprint Backlog'!$A$10:$N$35</definedName>
  </definedNames>
  <calcPr/>
  <customWorkbookViews>
    <customWorkbookView activeSheetId="0" maximized="1" windowHeight="0" windowWidth="0" guid="{FF690A6A-5EC6-414C-9B61-4854A407024F}" name="SprintBacklogIssues filter view"/>
  </customWorkbookViews>
  <extLst>
    <ext uri="GoogleSheetsCustomDataVersion2">
      <go:sheetsCustomData xmlns:go="http://customooxmlschemas.google.com/" r:id="rId7" roundtripDataChecksum="hI1jgq+OQAhbsQXj+LJa32Gn+mxrBnuQLN8oynG/So4="/>
    </ext>
  </extLst>
</workbook>
</file>

<file path=xl/sharedStrings.xml><?xml version="1.0" encoding="utf-8"?>
<sst xmlns="http://schemas.openxmlformats.org/spreadsheetml/2006/main" count="616" uniqueCount="293">
  <si>
    <t>Vista simplificada para diagrama</t>
  </si>
  <si>
    <t>Sprint Backlog SAAD Fase 2.1</t>
  </si>
  <si>
    <t>Issue</t>
  </si>
  <si>
    <t>Periodo</t>
  </si>
  <si>
    <t>8 al 15 de octubre de 2026</t>
  </si>
  <si>
    <t>Estado actual</t>
  </si>
  <si>
    <t>Cantidad</t>
  </si>
  <si>
    <t>Fecha objetivo de cierre</t>
  </si>
  <si>
    <t>14 de octubre de 2026</t>
  </si>
  <si>
    <t>Total comprometidos</t>
  </si>
  <si>
    <t>Entregable</t>
  </si>
  <si>
    <t>Área</t>
  </si>
  <si>
    <t>Título exacto</t>
  </si>
  <si>
    <t>Estado</t>
  </si>
  <si>
    <t>Responsable(s)</t>
  </si>
  <si>
    <t>Dependencias derivadas</t>
  </si>
  <si>
    <t>Evidencia de cierre</t>
  </si>
  <si>
    <t>#69</t>
  </si>
  <si>
    <t>Entregable 1</t>
  </si>
  <si>
    <t>Documentación</t>
  </si>
  <si>
    <t>D2-02 Actualizar ficha del proyecto</t>
  </si>
  <si>
    <t>In progress</t>
  </si>
  <si>
    <t>Sprint Goal</t>
  </si>
  <si>
    <t>Completar y evidenciar los issues existentes que sostienen los entregables documentales y el avance funcional de Fase 2.1.</t>
  </si>
  <si>
    <t>Backlog</t>
  </si>
  <si>
    <t>Camila Aroca</t>
  </si>
  <si>
    <t>#70, #73, #74, #96</t>
  </si>
  <si>
    <t>Documento final en DOCX o PDF, enlace o commit y verificación de los cuatro criterios.</t>
  </si>
  <si>
    <t>#96</t>
  </si>
  <si>
    <t>Presupuesto</t>
  </si>
  <si>
    <t>Ready</t>
  </si>
  <si>
    <t>Catalina Rodríguez</t>
  </si>
  <si>
    <t>Tabla de presupuesto con supuestos, moneda, fuentes, subtotal, contingencia y total; documento o planilla enlazada al issue.</t>
  </si>
  <si>
    <t>#70</t>
  </si>
  <si>
    <t>Entregable 2</t>
  </si>
  <si>
    <t>D2-03 Actualizar acta de constitución del proyecto</t>
  </si>
  <si>
    <t>#69, #74</t>
  </si>
  <si>
    <t>Acta final en DOCX o PDF, enlace o commit y checklist de criterios completado.</t>
  </si>
  <si>
    <t>#71</t>
  </si>
  <si>
    <t>Entregable 3</t>
  </si>
  <si>
    <t>Alcance</t>
  </si>
  <si>
    <t>Solo issues reales del Project #12. Se excluyen coordinación, Daily Scrum, ensayo, cierre y tareas inventadas.</t>
  </si>
  <si>
    <t>D2-04 Actualizar registro de stakeholders</t>
  </si>
  <si>
    <t>#72</t>
  </si>
  <si>
    <t>Registro de stakeholders actualizado, enlace o commit y evidencia de revisión con el mapa de actores.</t>
  </si>
  <si>
    <t>Entregable 4</t>
  </si>
  <si>
    <t>D2-05 Crear mapa de actores principales</t>
  </si>
  <si>
    <t>Imagen final y fuente editable, enlazadas al issue o repositorio.</t>
  </si>
  <si>
    <t>#73</t>
  </si>
  <si>
    <t>Entregable 5</t>
  </si>
  <si>
    <t>Producto</t>
  </si>
  <si>
    <t>D2-06 Redefinir Product Vision y branding del proyecto</t>
  </si>
  <si>
    <t>#69, #74, #92</t>
  </si>
  <si>
    <t>Product Vision final, enlace o commit y control de coherencia con Ficha, Goal y presentación.</t>
  </si>
  <si>
    <t>#74</t>
  </si>
  <si>
    <t>Entregable 6</t>
  </si>
  <si>
    <t>Criterio de selección</t>
  </si>
  <si>
    <t>D2-07 Definir Product Goal para Fase 2.1</t>
  </si>
  <si>
    <t>Issue abierto que aporta directamente a un entregable o a la evidencia técnica necesaria para demostrar el software.</t>
  </si>
  <si>
    <t>#75, #89, #91</t>
  </si>
  <si>
    <t>Product Goal final, enlace o commit y trazabilidad a #75, #89 y #91.</t>
  </si>
  <si>
    <t>#75</t>
  </si>
  <si>
    <t>Entregable 7</t>
  </si>
  <si>
    <t>Planificación</t>
  </si>
  <si>
    <t>D2-08 Actualizar Product Roadmap hasta el 4 de octubre</t>
  </si>
  <si>
    <t>#74, #89, #91, #92</t>
  </si>
  <si>
    <t>Roadmap vigente con fecha de corte, versión editable y enlace o commit.</t>
  </si>
  <si>
    <t>#79</t>
  </si>
  <si>
    <t>Entregable 10</t>
  </si>
  <si>
    <t>D2-12 Redactar historias de usuario con criterios de aceptación</t>
  </si>
  <si>
    <t>#77, #78, #89</t>
  </si>
  <si>
    <t>Documento final con historias priorizadas, criterios verificables y trazabilidad a requisitos.</t>
  </si>
  <si>
    <t>#29</t>
  </si>
  <si>
    <t>Soporte transversal</t>
  </si>
  <si>
    <t>Actualizar README con estado real del proyecto</t>
  </si>
  <si>
    <t>#1, #42, #46, #69, #75, #83, #89</t>
  </si>
  <si>
    <t>Commit del README y revisión de enlaces, comandos, fechas, riesgos e hitos.</t>
  </si>
  <si>
    <t>#83</t>
  </si>
  <si>
    <t>Entregable 14</t>
  </si>
  <si>
    <t>Arquitectura</t>
  </si>
  <si>
    <t>D2-16 Modificar o justificar la arquitectura actual</t>
  </si>
  <si>
    <t>Regla de trazabilidad</t>
  </si>
  <si>
    <t>#82, #61, #84, #88, #89</t>
  </si>
  <si>
    <t>Documento o sección de arquitectura actualizada, fuente del diagrama y commit o enlace.</t>
  </si>
  <si>
    <t>El número, título, estado, responsable, prioridad y tamaño provienen del issue o tablero. Los campos vacíos se muestran como Sin definir.</t>
  </si>
  <si>
    <t>#84</t>
  </si>
  <si>
    <t>Entregable 15</t>
  </si>
  <si>
    <t>In review</t>
  </si>
  <si>
    <t>D2-17 Completar modelo de base de datos</t>
  </si>
  <si>
    <t>Felipe Rivera</t>
  </si>
  <si>
    <t>#61, #77</t>
  </si>
  <si>
    <t>Fuentes editables y PNG del modelo, commit y revisión contra ERF/API.</t>
  </si>
  <si>
    <t>#88</t>
  </si>
  <si>
    <t>Entregable 16</t>
  </si>
  <si>
    <t>D2-21 Crear diagrama UML de despliegue</t>
  </si>
  <si>
    <t>#83, #89</t>
  </si>
  <si>
    <t>Fuente editable, imagen legible, enlace o commit y revisión contra #83.</t>
  </si>
  <si>
    <t>#1</t>
  </si>
  <si>
    <t>Soporte técnico</t>
  </si>
  <si>
    <t>Datos</t>
  </si>
  <si>
    <t>Documentar fuentes de datos y procedimiento reproducible de obtención</t>
  </si>
  <si>
    <t>Sprint Backlog trazable a GitHub Project #12</t>
  </si>
  <si>
    <t>Cristopher Rojas, Catalina Rodríguez, Felipe Rivera</t>
  </si>
  <si>
    <t>#44, #46, #51</t>
  </si>
  <si>
    <t>Documento de fuentes y descarga reproducible, manifests o hashes y confirmación en el issue.</t>
  </si>
  <si>
    <t>#41</t>
  </si>
  <si>
    <t>Fuentes</t>
  </si>
  <si>
    <t>Verificar stages de limpieza con datos locales</t>
  </si>
  <si>
    <t>#45, #46</t>
  </si>
  <si>
    <t>Log de ejecución, tabla de conteos y referencia al commit probado.</t>
  </si>
  <si>
    <t>#42</t>
  </si>
  <si>
    <t>Documentación técnica</t>
  </si>
  <si>
    <t>Alinear PIPELINE.md con scripts/run_pipeline.py</t>
  </si>
  <si>
    <t>Project #12: https://github.com/users/Camila Aroca/projects/12/views/1
Repositorio: https://github.com/Camila Aroca/Proyecto-Capstone
Corte: 08-10-2026</t>
  </si>
  <si>
    <t>Periodo: 08-10-2026 al 15-10-2026. Todas las filas son issues reales comprometidos para el sprint. Las subtareas y dependencias se identifican como derivadas.</t>
  </si>
  <si>
    <t>#41, #45, #46</t>
  </si>
  <si>
    <t>Commit de PIPELINE.md y checklist de correspondencia con run_pipeline.py.</t>
  </si>
  <si>
    <t>#44</t>
  </si>
  <si>
    <t>Implementar provenance histórico de snapshots</t>
  </si>
  <si>
    <t>Sin asignar</t>
  </si>
  <si>
    <t>#1, #46, #98</t>
  </si>
  <si>
    <t>Manifest con historial comprobable, prueba o captura y commit asociado.</t>
  </si>
  <si>
    <t>#45</t>
  </si>
  <si>
    <t>Agregar validaciones de output por esquema esperado</t>
  </si>
  <si>
    <t>#41, #46</t>
  </si>
  <si>
    <t>Resultados de tests o log, commit y referencia al esquema validado.</t>
  </si>
  <si>
    <t>#46</t>
  </si>
  <si>
    <t>Prioridad sin definir</t>
  </si>
  <si>
    <t>Validar ejecución completa del pipeline</t>
  </si>
  <si>
    <t>#41, #44, #45, #51, #98</t>
  </si>
  <si>
    <t>Log completo o resumen reproducible, lista de outputs, manifest actualizado y SHA del commit probado.</t>
  </si>
  <si>
    <t>#51</t>
  </si>
  <si>
    <t>Modelo</t>
  </si>
  <si>
    <t>Construir dataset semanal de demanda salud mental</t>
  </si>
  <si>
    <t>#41, #46, #98</t>
  </si>
  <si>
    <t>Esquema, muestra o reporte de calidad, ruta reproducible y commit probado.</t>
  </si>
  <si>
    <t>#61</t>
  </si>
  <si>
    <t>Plataforma</t>
  </si>
  <si>
    <t>Diseñar contrato de datos para API/frontend</t>
  </si>
  <si>
    <t>#51, #84, #89</t>
  </si>
  <si>
    <t>OpenAPI o documento del contrato, capturas o pruebas de endpoints y commit.</t>
  </si>
  <si>
    <t>#98</t>
  </si>
  <si>
    <t>Entregable 17</t>
  </si>
  <si>
    <t>Actualizar el snapshot DEIS 2026</t>
  </si>
  <si>
    <t>#44, #45, #46, #51, #89</t>
  </si>
  <si>
    <t>Manifest y snapshot trazables, log de regeneración, commit y captura de la fecha visible en la aplicación.</t>
  </si>
  <si>
    <t>#89</t>
  </si>
  <si>
    <t>D2-22 Preparar avance funcional validable</t>
  </si>
  <si>
    <t>Fuentes: https://github.com/users/Camila Aroca/projects/12/views/1 | https://github.com/Camila Aroca/Proyecto-Capstone | Corte: 08-10-2026</t>
  </si>
  <si>
    <t>#46, #51, #61, #98</t>
  </si>
  <si>
    <t>Comandos reproducibles, SHA del commit, capturas del flujo y resultado visible; demo ejecutable o video.</t>
  </si>
  <si>
    <t>#91</t>
  </si>
  <si>
    <t>Software y video</t>
  </si>
  <si>
    <t>D2-24 Preparar video demostrativo del software</t>
  </si>
  <si>
    <t>Catalina Rodríguez, Felipe Rivera</t>
  </si>
  <si>
    <t>#89, #98</t>
  </si>
  <si>
    <t>Archivo de video final, enlace estable, guion y checklist de criterios completado.</t>
  </si>
  <si>
    <t>#92</t>
  </si>
  <si>
    <t>Presentación Fase 2.1</t>
  </si>
  <si>
    <t>Presentación</t>
  </si>
  <si>
    <t>D2-25 Rediseñar presentación de Fase 2.1</t>
  </si>
  <si>
    <t>#69, #70, #73, #74, #75, #83, #84, #88, #89, #91, #96</t>
  </si>
  <si>
    <t>PPTX final, versión exportada, capturas reales y checklist de criterios.</t>
  </si>
  <si>
    <t>Lectura del compromiso</t>
  </si>
  <si>
    <t>Definición de terminado por issue</t>
  </si>
  <si>
    <t>Revisar evidencia y cerrar si cumple el criterio del issue.</t>
  </si>
  <si>
    <t>1. Se cumplen los criterios de aceptación escritos en el issue.</t>
  </si>
  <si>
    <t>Estado Kanban</t>
  </si>
  <si>
    <t>Prioridad registrada</t>
  </si>
  <si>
    <t>Tamaño registrado</t>
  </si>
  <si>
    <t>Criterios de aceptación del issue</t>
  </si>
  <si>
    <t>Subtareas derivadas para el sprint</t>
  </si>
  <si>
    <t>Evidencia de cierre requerida</t>
  </si>
  <si>
    <t>Completar documento o ajuste pendiente y adjuntar evidencia.</t>
  </si>
  <si>
    <t>Evidencia o avance actual</t>
  </si>
  <si>
    <t>2. La evidencia de cierre está disponible mediante commit, documento, captura, video, log o validación.</t>
  </si>
  <si>
    <t>URL del issue</t>
  </si>
  <si>
    <t>Iniciar y completar dentro del sprint.</t>
  </si>
  <si>
    <t>3. La evidencia está enlazada desde el issue o es localizable desde el repositorio.</t>
  </si>
  <si>
    <t>Tomar solo los issues incluidos en esta planilla.</t>
  </si>
  <si>
    <t>4. El resultado no contradice el software, los datos ni otros documentos de la entrega.</t>
  </si>
  <si>
    <t>Sin definir</t>
  </si>
  <si>
    <t>No se asignó prioridad o tamaño en el tablero; no se infiere un valor.</t>
  </si>
  <si>
    <t>5. El equipo revisa la evidencia antes de mover el issue a Done.</t>
  </si>
  <si>
    <t>P2</t>
  </si>
  <si>
    <t>S</t>
  </si>
  <si>
    <t>Nombre del proyecto actualizado o sigla SAAD definida; problema y solución descritos con claridad; objetivos alineados con la entrega 2.1; riesgos e indicadores de éxito actualizados.</t>
  </si>
  <si>
    <t>Actualizar fechas e hitos; incorporar modelo, API y frontend actuales; integrar presupuesto del issue #96; contrastar alcance con Acta, Product Vision y Product Goal.</t>
  </si>
  <si>
    <t>Archivo de trabajo Ficha_Proyecto_SAAD.docx disponible; el issue continúa In progress.</t>
  </si>
  <si>
    <t>https://github.com/Camila Aroca/Proyecto-Capstone/issues/69</t>
  </si>
  <si>
    <t>P1</t>
  </si>
  <si>
    <t>L</t>
  </si>
  <si>
    <t>El issue no contiene checklist formal. El cuerpo solicita RRHH, infraestructura cloud, software y licencias, datos, hardware, contingencia y total CAPEX/OPEX.</t>
  </si>
  <si>
    <t>Confirmar enfoque de valorización; estimar horas y tarifas por rol; separar CAPEX y OPEX; calcular contingencia; integrar la tabla final en la ficha.</t>
  </si>
  <si>
    <t>El issue contiene categorías y rangos orientativos, pero no evidencia de un presupuesto terminado.</t>
  </si>
  <si>
    <t>https://github.com/Camila Aroca/Proyecto-Capstone/issues/96</t>
  </si>
  <si>
    <t>Justificación actualizada; alcance validado con equipo/profesora; restricciones y supuestos documentados; criterios de éxito definidos para Fase 2.1.</t>
  </si>
  <si>
    <t>Actualizar justificación y alcance; distinguir estado actual y alcance objetivo; revisar restricciones, supuestos, riesgos y criterios de éxito; sincronizar con ficha y Product Goal.</t>
  </si>
  <si>
    <t>Archivo de trabajo Acta_Constitucion_Proyecto_SAAD_Actualizada.docx disponible; el issue continúa In progress.</t>
  </si>
  <si>
    <t>https://github.com/Camila Aroca/Proyecto-Capstone/issues/70</t>
  </si>
  <si>
    <t>M</t>
  </si>
  <si>
    <t>Cliente/usuario validador incluido; profesora incluida; equipo incluido; usuarios o instituciones afectadas consideradas.</t>
  </si>
  <si>
    <t>Revisar nombres y roles; registrar el perfil validador sin presentarlo como cliente confirmado; actualizar interés, influencia, expectativas y estrategia; contrastar con el mapa de actores.</t>
  </si>
  <si>
    <t>Archivo de trabajo Registro_Stakeholders_SAAD.xlsx disponible; el issue continúa In progress.</t>
  </si>
  <si>
    <t>https://github.com/Camila Aroca/Proyecto-Capstone/issues/71</t>
  </si>
  <si>
    <t>Incluye solo tres actores principales; muestra relaciones e influencia; es coherente con stakeholders y problema.</t>
  </si>
  <si>
    <t>Verificar que sean exactamente tres actores; revisar sentido de relaciones e influencia; alinear nombres con el registro de stakeholders; exportar versión legible.</t>
  </si>
  <si>
    <t>Archivo de trabajo Mapa_Actores_SAAD.png disponible; el issue continúa In progress.</t>
  </si>
  <si>
    <t>https://github.com/Camila Aroca/Proyecto-Capstone/issues/72</t>
  </si>
  <si>
    <t>Responde para quién es el producto; explica qué problema resuelve; explica qué solución propone; define valor entregado; define si se usará SAAD como branding.</t>
  </si>
  <si>
    <t>Ajustar visión al alcance demostrable; diferenciar capacidad actual y futura; confirmar uso de SAAD; aplicar logo, paleta y Arial; revisar coherencia con ficha y presentación.</t>
  </si>
  <si>
    <t>Archivo de trabajo Product_Vision_SAAD.docx disponible; el issue continúa In progress.</t>
  </si>
  <si>
    <t>https://github.com/Camila Aroca/Proyecto-Capstone/issues/73</t>
  </si>
  <si>
    <t>P0</t>
  </si>
  <si>
    <t>Meta medible para el 15 de octubre; incluye avance funcional; incluye validación con cliente; se alinea con roadmap.</t>
  </si>
  <si>
    <t>Reescribir la meta con fecha y resultado verificable; vincularla al flujo del issue #89; precisar cómo se demostrará la validación; alinear con roadmap y video.</t>
  </si>
  <si>
    <t>Archivo de trabajo Product_Goal_SAAD.docx disponible; el issue continúa In progress.</t>
  </si>
  <si>
    <t>https://github.com/Camila Aroca/Proyecto-Capstone/issues/74</t>
  </si>
  <si>
    <t xml:space="preserve">D2-08 Actualizar Product Roadmap </t>
  </si>
  <si>
    <t>Hitos definidos por semana; fecha de cierre interno 4 de octubre; fechas de validación y demo incluidas; tareas críticas priorizadas.</t>
  </si>
  <si>
    <t>Reemplazar fechas vencidas por el estado al 8 de octubre; representar el cierre del 15 de octubre y el horizonte al 26 de noviembre; mantener responsables, hitos y dependencias; reflejar este sprint.</t>
  </si>
  <si>
    <t>Existe un roadmap de referencia previo; el issue mantiene un horizonte vencido y continúa In progress.</t>
  </si>
  <si>
    <t>https://github.com/Camila Aroca/Proyecto-Capstone/issues/75</t>
  </si>
  <si>
    <t>XL</t>
  </si>
  <si>
    <t>Historias principales redactadas; cada historia tiene criterios de aceptación; historias conectan con requisitos funcionales; historias priorizadas para la demo.</t>
  </si>
  <si>
    <t>Revisar historias contra ERF y ERNF; priorizar las que aparecen en la demo; asegurar criterios observables; retirar o marcar capacidades futuras.</t>
  </si>
  <si>
    <t>Archivo de trabajo Historias_Usuario_SAAD.docx disponible; el issue continúa In progress.</t>
  </si>
  <si>
    <t>https://github.com/Camila Aroca/Proyecto-Capstone/issues/79</t>
  </si>
  <si>
    <t>XS</t>
  </si>
  <si>
    <t>README distingue trabajo realizado, pendientes, riesgos e hitos.</t>
  </si>
  <si>
    <t>Actualizar Estado actual y Próximos pasos; reflejar modelo, API y frontend implementados; distinguir módulos actuales y futuros; enlazar documentos y comandos vigentes.</t>
  </si>
  <si>
    <t>El README ya documenta la ejecución local de API y frontend, pero conserva estados y próximos pasos desactualizados.</t>
  </si>
  <si>
    <t>https://github.com/Camila Aroca/Proyecto-Capstone/issues/29</t>
  </si>
  <si>
    <t>Diagrama actualizado o validado; justificación técnica redactada; relación con solución y demo explicada; riesgos o limitaciones mencionadas.</t>
  </si>
  <si>
    <t>Comparar arquitectura documentada con API, frontend, pipeline y almacenamiento reales; decidir cambios; identificar estado actual y arquitectura objetivo; documentar riesgos y restricciones.</t>
  </si>
  <si>
    <t>El documento base de arquitectura está Done en #82; este issue de revisión sigue en Backlog.</t>
  </si>
  <si>
    <t>https://github.com/Camila Aroca/Proyecto-Capstone/issues/83</t>
  </si>
  <si>
    <t>Entidades principales definidas; atributos relevantes incluidos; relaciones y cardinalidades claras; coherencia con requisitos funcionales.</t>
  </si>
  <si>
    <t>Revisar ERD lógico y físico contra outputs y API actuales; comprobar PK, FK y cardinalidades; actualizar nombres divergentes; confirmar legibilidad de exportaciones.</t>
  </si>
  <si>
    <t>Los commits 17ad1f8 y 5db4b22 agregan y mejoran los diagramas ER; el issue sigue In review.</t>
  </si>
  <si>
    <t>https://github.com/Camila Aroca/Proyecto-Capstone/issues/84</t>
  </si>
  <si>
    <t>Nodos principales definidos; componentes desplegados representados; relación con infraestructura clara; coherencia con arquitectura propuesta.</t>
  </si>
  <si>
    <t>Definir entorno local actual; ubicar API, frontend, pipeline y almacenamiento; representar conexiones y puertos; separar despliegue actual y objetivo si ambos se muestran.</t>
  </si>
  <si>
    <t>Los UML de casos de uso, componentes y clases están Done; falta el UML de despliegue y el issue sigue en Backlog.</t>
  </si>
  <si>
    <t>https://github.com/Camila Aroca/Proyecto-Capstone/issues/88</t>
  </si>
  <si>
    <t>Fuentes oficiales documentadas; URLs y periodos disponibles registrados; procedimiento de descarga descrito; manifests y hashes definidos; política de no versionar RAW explicitada.</t>
  </si>
  <si>
    <t>Revisar fuentes y periodos; comprobar comandos de descarga; validar manifests y SHA256; documentar política RAW; enlazar evidencia usada por el modelo y la demo.</t>
  </si>
  <si>
    <t>El issue está In review y pertenece al hito Fase 2.1; no tiene PR o branch enlazado.</t>
  </si>
  <si>
    <t>https://github.com/Camila Aroca/Proyecto-Capstone/issues/1</t>
  </si>
  <si>
    <t>Cada stage produce outputs esperados con conteos documentados.</t>
  </si>
  <si>
    <t>Ejecutar stages con datos locales; registrar conteos de entrada y salida; verificar archivos esperados; documentar fallos y resolución; adjuntar log resumido.</t>
  </si>
  <si>
    <t>Los commits 09c0f4e, cf8627d y a79d308 robustecen recuperación y validación de outputs; falta evidencia cerrable en el issue.</t>
  </si>
  <si>
    <t>https://github.com/Camila Aroca/Proyecto-Capstone/issues/41</t>
  </si>
  <si>
    <t>Documentación no promete garantías no implementadas o referencia issues técnicos explícitos.</t>
  </si>
  <si>
    <t>Comparar stages y flags del script con PIPELINE.md; actualizar rutas y outputs; documentar recuperación y CSV legacy; señalar limitaciones vigentes.</t>
  </si>
  <si>
    <t>PIPELINE.md existe y el issue está In review; un comentario solicita confirmación de cierre.</t>
  </si>
  <si>
    <t>https://github.com/Camila Aroca/Proyecto-Capstone/issues/42</t>
  </si>
  <si>
    <t>Manifest conserva historial con URL, fecha, tamaño y SHA256 por snapshot.</t>
  </si>
  <si>
    <t>Verificar que nuevas entradas no reemplacen historial; registrar URL, fecha, tamaño y SHA256; probar con dos snapshots; asignar responsable para cerrar la revisión.</t>
  </si>
  <si>
    <t>El issue está In review, no tiene responsable ni PR o branch enlazado.</t>
  </si>
  <si>
    <t>https://github.com/Camila Aroca/Proyecto-Capstone/issues/44</t>
  </si>
  <si>
    <t>Stages validan columnas/tipos mínimos antes de hacer SKIP.</t>
  </si>
  <si>
    <t>Revisar esquemas conocidos; ejecutar casos válidos y CSV legacy; confirmar rechazo de columnas o tipos inválidos; registrar pruebas.</t>
  </si>
  <si>
    <t>El commit a79d308 valida esquemas de outputs conocidos; cf8627d corrige compatibilidad con CSV legacy.</t>
  </si>
  <si>
    <t>https://github.com/Camila Aroca/Proyecto-Capstone/issues/45</t>
  </si>
  <si>
    <t>Pipeline termina con outputs esperados y provenance actualizado.</t>
  </si>
  <si>
    <t>Ejecutar desde entrada hasta outputs; registrar entorno y comandos; comprobar outputs, manifests y reportes; confirmar que los fixes recientes no rompen CSV legacy.</t>
  </si>
  <si>
    <t>09c0f4e recupera outputs; cf8627d corrige CSV legacy; a79d308 valida esquemas y publicación RAW.</t>
  </si>
  <si>
    <t>https://github.com/Camila Aroca/Proyecto-Capstone/issues/46</t>
  </si>
  <si>
    <t>Tabla semanal por establecimiento/comuna con id_causa=36 y metadata.</t>
  </si>
  <si>
    <t>Verificar granularidad semanal; comprobar establecimiento, comuna, id_causa y metadata; enlazar el dataset usado por benchmark y holdout; documentar fecha de corte.</t>
  </si>
  <si>
    <t>El commit 89a5c11 agrega el modelo con benchmark y holdout; el issue sigue In review y requiere evidencia específica del dataset.</t>
  </si>
  <si>
    <t>https://github.com/Camila Aroca/Proyecto-Capstone/issues/51</t>
  </si>
  <si>
    <t>Especificación de endpoints/datasets, campos y filtros.</t>
  </si>
  <si>
    <t>Comparar endpoints implementados con OpenAPI; documentar campos, filtros y errores; comprobar que frontend consume el contrato; registrar divergencias y resolver bloqueadores.</t>
  </si>
  <si>
    <t>El commit 5677032 agrega FastAPI y React; falta cerrar la correspondencia explícita entre contrato e implementación.</t>
  </si>
  <si>
    <t>https://github.com/Camila Aroca/Proyecto-Capstone/issues/61</t>
  </si>
  <si>
    <t>El issue no contiene checklist formal. Indica que el snapshot corta el 01-09 y que debe poder actualizarse desde la página o automáticamente.</t>
  </si>
  <si>
    <t>Definir mecanismo de actualización; obtener snapshot vigente; registrar fecha, URL y hash; regenerar pipeline y pronóstico; comprobar que la app no pronostica semanas ya transcurridas.</t>
  </si>
  <si>
    <t>24b987f robustece la actualización del año corriente; a79d308 robustece publicación RAW, pero el issue continúa Backlog.</t>
  </si>
  <si>
    <t>https://github.com/Camila Aroca/Proyecto-Capstone/issues/98</t>
  </si>
  <si>
    <t>Flujo principal definido; datos de prueba disponibles; resultado visible para usuario; demo ejecutable o respaldada en video.</t>
  </si>
  <si>
    <t>Levantar API y frontend con outputs reales; ejecutar el flujo completo; corregir bloqueadores; verificar advertencias y fechas; capturar evidencia del resultado.</t>
  </si>
  <si>
    <t>El commit 5677032 agregó API FastAPI y frontend React; el README documenta ejecución local, pero el issue sigue Backlog.</t>
  </si>
  <si>
    <t>https://github.com/Camila Aroca/Proyecto-Capstone/issues/89</t>
  </si>
  <si>
    <t>Presenta el problema que resuelve; muestra ingreso o acceso al sistema; muestra principales funcionalidades; muestra flujo de uso; muestra resultado obtenido; incluye cierre y valor entregado.</t>
  </si>
  <si>
    <t>Definir recorrido basado en #89; grabar acceso y funcionalidades; mostrar resultado real y advertencias; editar audio y texto; revisar los seis criterios antes de exportar.</t>
  </si>
  <si>
    <t>No hay video ni evidencia enlazada en el issue; permanece en Backlog.</t>
  </si>
  <si>
    <t>https://github.com/Camila Aroca/Proyecto-Capstone/issues/91</t>
  </si>
  <si>
    <t>Menos texto por slide; más apoyo visual; branding/nombre consistente; demo y validación incluidas; roles de presentación claros.</t>
  </si>
  <si>
    <t>Sustituir texto por evidencia; incorporar capturas de demo y diagramas vigentes; unificar branding; enlazar video; revisar narrativa y roles.</t>
  </si>
  <si>
    <t>Existe un borrador inicial de presentación; el issue aún figura en Backlog.</t>
  </si>
  <si>
    <t>https://github.com/Camila Aroca/Proyecto-Capstone/issues/92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</si>
</sst>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3">
    <font>
      <sz val="11.0"/>
      <color rgb="FF000000"/>
      <name val="Carlito"/>
      <scheme val="minor"/>
    </font>
    <font>
      <sz val="10.0"/>
      <color theme="1"/>
      <name val="Arial"/>
    </font>
    <font>
      <b/>
      <sz val="16.0"/>
      <color rgb="FF173845"/>
      <name val="Arial"/>
    </font>
    <font>
      <b/>
      <sz val="10.0"/>
      <color rgb="FF173845"/>
      <name val="Arial"/>
    </font>
    <font>
      <b/>
      <sz val="10.0"/>
      <color rgb="FFFFFFFF"/>
      <name val="Arial"/>
    </font>
    <font>
      <sz val="10.0"/>
      <color rgb="FF1F2933"/>
      <name val="Arial"/>
    </font>
    <font>
      <sz val="9.0"/>
      <color theme="1"/>
      <name val="Arial"/>
    </font>
    <font>
      <i/>
      <sz val="10.0"/>
      <color rgb="FF40515A"/>
      <name val="Arial"/>
    </font>
    <font/>
    <font>
      <sz val="9.0"/>
      <color rgb="FF40515A"/>
      <name val="Arial"/>
    </font>
    <font>
      <b/>
      <sz val="9.0"/>
      <color rgb="FF173845"/>
      <name val="Arial"/>
    </font>
    <font>
      <sz val="9.0"/>
      <color rgb="FF1F2933"/>
      <name val="Arial"/>
    </font>
    <font>
      <sz val="8.0"/>
      <color rgb="FF1A5FB4"/>
      <name val="Arial"/>
    </font>
  </fonts>
  <fills count="8">
    <fill>
      <patternFill patternType="none"/>
    </fill>
    <fill>
      <patternFill patternType="lightGray"/>
    </fill>
    <fill>
      <patternFill patternType="solid">
        <fgColor rgb="FF2F6F78"/>
        <bgColor rgb="FF2F6F78"/>
      </patternFill>
    </fill>
    <fill>
      <patternFill patternType="solid">
        <fgColor rgb="FFEAF2F4"/>
        <bgColor rgb="FFEAF2F4"/>
      </patternFill>
    </fill>
    <fill>
      <patternFill patternType="solid">
        <fgColor rgb="FFF2F4F5"/>
        <bgColor rgb="FFF2F4F5"/>
      </patternFill>
    </fill>
    <fill>
      <patternFill patternType="solid">
        <fgColor rgb="FFE8F1F8"/>
        <bgColor rgb="FFE8F1F8"/>
      </patternFill>
    </fill>
    <fill>
      <patternFill patternType="solid">
        <fgColor rgb="FF173845"/>
        <bgColor rgb="FF173845"/>
      </patternFill>
    </fill>
    <fill>
      <patternFill patternType="solid">
        <fgColor rgb="FFFFFFFF"/>
        <bgColor rgb="FFFFFFFF"/>
      </patternFill>
    </fill>
  </fills>
  <borders count="9">
    <border/>
    <border>
      <left style="thin">
        <color rgb="FFD9E0E3"/>
      </left>
      <right style="thin">
        <color rgb="FFD9E0E3"/>
      </right>
      <top style="thin">
        <color rgb="FFD9E0E3"/>
      </top>
      <bottom style="thin">
        <color rgb="FFD9E0E3"/>
      </bottom>
    </border>
    <border>
      <left/>
      <right/>
      <top/>
      <bottom/>
    </border>
    <border>
      <left/>
      <top/>
      <bottom/>
    </border>
    <border>
      <top/>
      <bottom/>
    </border>
    <border>
      <right/>
      <top/>
      <bottom/>
    </border>
    <border>
      <left style="thin">
        <color rgb="FFD9E0E3"/>
      </left>
      <top style="thin">
        <color rgb="FFD9E0E3"/>
      </top>
      <bottom style="thin">
        <color rgb="FFD9E0E3"/>
      </bottom>
    </border>
    <border>
      <top style="thin">
        <color rgb="FFD9E0E3"/>
      </top>
      <bottom style="thin">
        <color rgb="FFD9E0E3"/>
      </bottom>
    </border>
    <border>
      <right style="thin">
        <color rgb="FFD9E0E3"/>
      </right>
      <top style="thin">
        <color rgb="FFD9E0E3"/>
      </top>
      <bottom style="thin">
        <color rgb="FFD9E0E3"/>
      </bottom>
    </border>
  </borders>
  <cellStyleXfs count="1">
    <xf borderId="0" fillId="0" fontId="0" numFmtId="0" applyAlignment="1" applyFont="1"/>
  </cellStyleXfs>
  <cellXfs count="35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Font="1"/>
    <xf borderId="1" fillId="2" fontId="4" numFmtId="0" xfId="0" applyAlignment="1" applyBorder="1" applyFill="1" applyFont="1">
      <alignment vertical="center"/>
    </xf>
    <xf borderId="1" fillId="3" fontId="5" numFmtId="0" xfId="0" applyAlignment="1" applyBorder="1" applyFill="1" applyFont="1">
      <alignment shrinkToFit="0" vertical="center" wrapText="1"/>
    </xf>
    <xf borderId="2" fillId="2" fontId="4" numFmtId="0" xfId="0" applyAlignment="1" applyBorder="1" applyFill="1" applyFont="1">
      <alignment horizontal="center"/>
    </xf>
    <xf borderId="1" fillId="0" fontId="1" numFmtId="0" xfId="0" applyBorder="1" applyFont="1"/>
    <xf borderId="2" fillId="2" fontId="4" numFmtId="0" xfId="0" applyAlignment="1" applyBorder="1" applyFill="1" applyFont="1">
      <alignment horizontal="center" shrinkToFit="0" vertical="center" wrapText="1"/>
    </xf>
    <xf borderId="1" fillId="4" fontId="6" numFmtId="0" xfId="0" applyAlignment="1" applyBorder="1" applyFill="1" applyFont="1">
      <alignment vertical="top"/>
    </xf>
    <xf borderId="1" fillId="0" fontId="6" numFmtId="0" xfId="0" applyAlignment="1" applyBorder="1" applyFont="1">
      <alignment shrinkToFit="0" vertical="top" wrapText="1"/>
    </xf>
    <xf borderId="1" fillId="0" fontId="1" numFmtId="0" xfId="0" applyAlignment="1" applyBorder="1" applyFont="1">
      <alignment horizontal="center"/>
    </xf>
    <xf borderId="1" fillId="0" fontId="6" numFmtId="0" xfId="0" applyAlignment="1" applyBorder="1" applyFont="1">
      <alignment horizontal="center" shrinkToFit="0" vertical="top" wrapText="1"/>
    </xf>
    <xf borderId="1" fillId="0" fontId="6" numFmtId="0" xfId="0" applyAlignment="1" applyBorder="1" applyFont="1">
      <alignment horizontal="center" readingOrder="0" shrinkToFit="0" vertical="top" wrapText="1"/>
    </xf>
    <xf borderId="1" fillId="3" fontId="5" numFmtId="0" xfId="0" applyAlignment="1" applyBorder="1" applyFill="1" applyFont="1">
      <alignment readingOrder="0" shrinkToFit="0" vertical="center" wrapText="1"/>
    </xf>
    <xf borderId="3" fillId="5" fontId="7" numFmtId="0" xfId="0" applyAlignment="1" applyBorder="1" applyFill="1" applyFont="1">
      <alignment shrinkToFit="0" wrapText="1"/>
    </xf>
    <xf borderId="4" fillId="0" fontId="8" numFmtId="0" xfId="0" applyBorder="1" applyFont="1"/>
    <xf borderId="5" fillId="0" fontId="8" numFmtId="0" xfId="0" applyBorder="1" applyFont="1"/>
    <xf borderId="3" fillId="4" fontId="9" numFmtId="0" xfId="0" applyAlignment="1" applyBorder="1" applyFill="1" applyFont="1">
      <alignment readingOrder="0" shrinkToFit="0" wrapText="1"/>
    </xf>
    <xf borderId="3" fillId="6" fontId="4" numFmtId="0" xfId="0" applyBorder="1" applyFill="1" applyFont="1"/>
    <xf borderId="1" fillId="2" fontId="4" numFmtId="0" xfId="0" applyAlignment="1" applyBorder="1" applyFill="1" applyFont="1">
      <alignment horizontal="center" readingOrder="0" shrinkToFit="0" vertical="center" wrapText="1"/>
    </xf>
    <xf borderId="1" fillId="0" fontId="3" numFmtId="0" xfId="0" applyAlignment="1" applyBorder="1" applyFont="1">
      <alignment shrinkToFit="0" vertical="center" wrapText="1"/>
    </xf>
    <xf borderId="1" fillId="0" fontId="1" numFmtId="0" xfId="0" applyAlignment="1" applyBorder="1" applyFont="1">
      <alignment shrinkToFit="0" vertical="center" wrapText="1"/>
    </xf>
    <xf borderId="6" fillId="7" fontId="5" numFmtId="0" xfId="0" applyAlignment="1" applyBorder="1" applyFill="1" applyFont="1">
      <alignment shrinkToFit="0" vertical="center" wrapText="1"/>
    </xf>
    <xf borderId="7" fillId="0" fontId="8" numFmtId="0" xfId="0" applyBorder="1" applyFont="1"/>
    <xf borderId="8" fillId="0" fontId="8" numFmtId="0" xfId="0" applyBorder="1" applyFont="1"/>
    <xf borderId="1" fillId="4" fontId="10" numFmtId="0" xfId="0" applyAlignment="1" applyBorder="1" applyFill="1" applyFont="1">
      <alignment shrinkToFit="0" vertical="top" wrapText="1"/>
    </xf>
    <xf borderId="1" fillId="4" fontId="11" numFmtId="0" xfId="0" applyAlignment="1" applyBorder="1" applyFill="1" applyFont="1">
      <alignment shrinkToFit="0" vertical="top" wrapText="1"/>
    </xf>
    <xf borderId="1" fillId="0" fontId="11" numFmtId="0" xfId="0" applyAlignment="1" applyBorder="1" applyFont="1">
      <alignment shrinkToFit="0" vertical="top" wrapText="1"/>
    </xf>
    <xf borderId="1" fillId="0" fontId="11" numFmtId="0" xfId="0" applyAlignment="1" applyBorder="1" applyFont="1">
      <alignment horizontal="center" shrinkToFit="0" vertical="top" wrapText="0"/>
    </xf>
    <xf borderId="1" fillId="0" fontId="11" numFmtId="0" xfId="0" applyAlignment="1" applyBorder="1" applyFont="1">
      <alignment horizontal="center" readingOrder="0" shrinkToFit="0" vertical="top" wrapText="0"/>
    </xf>
    <xf borderId="1" fillId="0" fontId="11" numFmtId="0" xfId="0" applyAlignment="1" applyBorder="1" applyFont="1">
      <alignment horizontal="center" readingOrder="0" shrinkToFit="0" vertical="top" wrapText="1"/>
    </xf>
    <xf borderId="1" fillId="0" fontId="12" numFmtId="0" xfId="0" applyAlignment="1" applyBorder="1" applyFont="1">
      <alignment readingOrder="0" shrinkToFit="0" vertical="top" wrapText="1"/>
    </xf>
    <xf borderId="1" fillId="0" fontId="11" numFmtId="0" xfId="0" applyAlignment="1" applyBorder="1" applyFont="1">
      <alignment readingOrder="0" shrinkToFit="0" vertical="top" wrapText="1"/>
    </xf>
    <xf borderId="1" fillId="0" fontId="11" numFmtId="0" xfId="0" applyAlignment="1" applyBorder="1" applyFont="1">
      <alignment horizontal="center" shrinkToFit="0" vertical="top" wrapText="1"/>
    </xf>
  </cellXfs>
  <cellStyles count="1">
    <cellStyle xfId="0" name="Normal" builtinId="0"/>
  </cellStyles>
  <dxfs count="10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  <dxf>
      <font>
        <b/>
        <color rgb="FF1F4E78"/>
      </font>
      <fill>
        <patternFill patternType="solid">
          <fgColor rgb="FFE8F1F8"/>
          <bgColor rgb="FFE8F1F8"/>
        </patternFill>
      </fill>
      <border/>
    </dxf>
    <dxf>
      <font>
        <b/>
        <color rgb="FF375623"/>
      </font>
      <fill>
        <patternFill patternType="solid">
          <fgColor rgb="FFE2F0D9"/>
          <bgColor rgb="FFE2F0D9"/>
        </patternFill>
      </fill>
      <border/>
    </dxf>
    <dxf>
      <font>
        <color rgb="FF666666"/>
      </font>
      <fill>
        <patternFill patternType="solid">
          <fgColor rgb="FFF2F4F5"/>
          <bgColor rgb="FFF2F4F5"/>
        </patternFill>
      </fill>
      <border/>
    </dxf>
    <dxf>
      <font>
        <b/>
        <color rgb="FF9C0006"/>
      </font>
      <fill>
        <patternFill patternType="solid">
          <fgColor rgb="FFFCE8E6"/>
          <bgColor rgb="FFFCE8E6"/>
        </patternFill>
      </fill>
      <border/>
    </dxf>
    <dxf>
      <font>
        <i/>
        <color rgb="FF8A5A00"/>
      </font>
      <fill>
        <patternFill patternType="solid">
          <fgColor rgb="FFFFF7E6"/>
          <bgColor rgb="FFFFF7E6"/>
        </patternFill>
      </fill>
      <border/>
    </dxf>
  </dxfs>
  <tableStyles count="1">
    <tableStyle count="4" pivot="0" name="Sprint Backlog-style">
      <tableStyleElement dxfId="1" type="headerRow"/>
      <tableStyleElement dxfId="2" type="firstRowStripe"/>
      <tableStyleElement dxfId="2" type="secondRowStripe"/>
      <tableStyleElement dxfId="3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0:N35" displayName="SprintBacklogIssues" name="SprintBacklogIssues" id="1">
  <tableColumns count="14">
    <tableColumn name="Issue" id="1"/>
    <tableColumn name="Entregable" id="2"/>
    <tableColumn name="Área" id="3"/>
    <tableColumn name="Título exacto" id="4"/>
    <tableColumn name="Estado Kanban" id="5"/>
    <tableColumn name="Prioridad registrada" id="6"/>
    <tableColumn name="Tamaño registrado" id="7"/>
    <tableColumn name="Responsable(s)" id="8"/>
    <tableColumn name="Criterios de aceptación del issue" id="9"/>
    <tableColumn name="Subtareas derivadas para el sprint" id="10"/>
    <tableColumn name="Evidencia de cierre requerida" id="11"/>
    <tableColumn name="Evidencia o avance actual" id="12"/>
    <tableColumn name="Dependencias derivadas" id="13"/>
    <tableColumn name="URL del issue" id="14"/>
  </tableColumns>
  <tableStyleInfo name="Sprint Backlog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173845"/>
    <pageSetUpPr/>
  </sheetPr>
  <sheetViews>
    <sheetView showGridLines="0" workbookViewId="0"/>
  </sheetViews>
  <sheetFormatPr customHeight="1" defaultColWidth="12.63" defaultRowHeight="15.0"/>
  <cols>
    <col customWidth="1" min="1" max="1" width="21.13"/>
    <col customWidth="1" min="2" max="2" width="43.38"/>
    <col customWidth="1" min="3" max="3" width="3.13"/>
    <col customWidth="1" min="4" max="4" width="20.5"/>
    <col customWidth="1" min="5" max="5" width="10.0"/>
    <col customWidth="1" min="6" max="8" width="9.5"/>
    <col customWidth="1" min="9" max="26" width="8.63"/>
  </cols>
  <sheetData>
    <row r="1">
      <c r="A1" s="1"/>
      <c r="B1" s="1"/>
      <c r="C1" s="1"/>
      <c r="D1" s="1"/>
      <c r="E1" s="1"/>
      <c r="F1" s="1"/>
      <c r="G1" s="1"/>
      <c r="H1" s="1"/>
    </row>
    <row r="2">
      <c r="A2" s="3" t="s">
        <v>1</v>
      </c>
    </row>
    <row r="3">
      <c r="A3" s="1"/>
      <c r="B3" s="1"/>
      <c r="C3" s="1"/>
      <c r="D3" s="1"/>
      <c r="E3" s="1"/>
      <c r="F3" s="1"/>
      <c r="G3" s="1"/>
      <c r="H3" s="1"/>
    </row>
    <row r="4" ht="39.0" customHeight="1">
      <c r="A4" s="4" t="s">
        <v>3</v>
      </c>
      <c r="B4" s="5" t="s">
        <v>4</v>
      </c>
      <c r="C4" s="1"/>
      <c r="D4" s="6" t="s">
        <v>5</v>
      </c>
      <c r="E4" s="6" t="s">
        <v>6</v>
      </c>
      <c r="F4" s="1"/>
      <c r="G4" s="1"/>
      <c r="H4" s="1"/>
    </row>
    <row r="5" ht="39.0" customHeight="1">
      <c r="A5" s="4" t="s">
        <v>7</v>
      </c>
      <c r="B5" s="5" t="s">
        <v>8</v>
      </c>
      <c r="C5" s="1"/>
      <c r="D5" s="7" t="s">
        <v>9</v>
      </c>
      <c r="E5" s="11">
        <f>COUNTA('Sprint Backlog'!$A$11:$A$35)</f>
        <v>25</v>
      </c>
      <c r="F5" s="1"/>
      <c r="G5" s="1"/>
      <c r="H5" s="1"/>
    </row>
    <row r="6" ht="39.0" customHeight="1">
      <c r="A6" s="4" t="s">
        <v>22</v>
      </c>
      <c r="B6" s="5" t="s">
        <v>23</v>
      </c>
      <c r="C6" s="1"/>
      <c r="D6" s="7" t="s">
        <v>24</v>
      </c>
      <c r="E6" s="11">
        <f>COUNTIF('Sprint Backlog'!$E$11:$E$35,"Backlog")</f>
        <v>6</v>
      </c>
      <c r="F6" s="1"/>
      <c r="G6" s="1"/>
      <c r="H6" s="1"/>
    </row>
    <row r="7" ht="39.0" customHeight="1">
      <c r="A7" s="4" t="s">
        <v>40</v>
      </c>
      <c r="B7" s="5" t="s">
        <v>41</v>
      </c>
      <c r="C7" s="1"/>
      <c r="D7" s="7" t="s">
        <v>30</v>
      </c>
      <c r="E7" s="11">
        <f>COUNTIF('Sprint Backlog'!$E$11:$E$35,"Ready")</f>
        <v>1</v>
      </c>
      <c r="F7" s="1"/>
      <c r="G7" s="1"/>
      <c r="H7" s="1"/>
    </row>
    <row r="8" ht="39.0" customHeight="1">
      <c r="A8" s="4" t="s">
        <v>56</v>
      </c>
      <c r="B8" s="5" t="s">
        <v>58</v>
      </c>
      <c r="C8" s="1"/>
      <c r="D8" s="7" t="s">
        <v>21</v>
      </c>
      <c r="E8" s="11">
        <f>COUNTIF('Sprint Backlog'!$E$11:$E$35,"In progress")</f>
        <v>9</v>
      </c>
      <c r="F8" s="1"/>
      <c r="G8" s="1"/>
      <c r="H8" s="1"/>
    </row>
    <row r="9" ht="39.0" customHeight="1">
      <c r="A9" s="4" t="s">
        <v>81</v>
      </c>
      <c r="B9" s="5" t="s">
        <v>84</v>
      </c>
      <c r="C9" s="1"/>
      <c r="D9" s="7" t="s">
        <v>87</v>
      </c>
      <c r="E9" s="11">
        <f>COUNTIF('Sprint Backlog'!$E$11:$E$35,"In review")</f>
        <v>9</v>
      </c>
      <c r="F9" s="1"/>
      <c r="G9" s="1"/>
      <c r="H9" s="1"/>
    </row>
    <row r="10" ht="58.5" customHeight="1">
      <c r="A10" s="4" t="s">
        <v>106</v>
      </c>
      <c r="B10" s="14" t="s">
        <v>113</v>
      </c>
      <c r="C10" s="1"/>
      <c r="D10" s="7"/>
      <c r="E10" s="11"/>
      <c r="F10" s="1"/>
      <c r="G10" s="1"/>
      <c r="H10" s="1"/>
    </row>
    <row r="11">
      <c r="A11" s="1"/>
      <c r="B11" s="1"/>
      <c r="C11" s="1"/>
      <c r="D11" s="7" t="s">
        <v>127</v>
      </c>
      <c r="E11" s="11">
        <f>COUNTIF('Sprint Backlog'!$F$11:$F$35,"Sin definir")</f>
        <v>0</v>
      </c>
      <c r="F11" s="1"/>
      <c r="G11" s="1"/>
      <c r="H11" s="1"/>
    </row>
    <row r="12">
      <c r="A12" s="1"/>
      <c r="B12" s="1"/>
      <c r="C12" s="1"/>
      <c r="D12" s="1"/>
      <c r="E12" s="1"/>
      <c r="F12" s="1"/>
      <c r="G12" s="1"/>
      <c r="H12" s="1"/>
    </row>
    <row r="13">
      <c r="A13" s="19" t="s">
        <v>163</v>
      </c>
      <c r="B13" s="17"/>
      <c r="C13" s="1"/>
      <c r="D13" s="19" t="s">
        <v>164</v>
      </c>
      <c r="E13" s="16"/>
      <c r="F13" s="16"/>
      <c r="G13" s="16"/>
      <c r="H13" s="17"/>
    </row>
    <row r="14" ht="31.5" customHeight="1">
      <c r="A14" s="21" t="s">
        <v>87</v>
      </c>
      <c r="B14" s="22" t="s">
        <v>165</v>
      </c>
      <c r="C14" s="1"/>
      <c r="D14" s="23" t="s">
        <v>166</v>
      </c>
      <c r="E14" s="24"/>
      <c r="F14" s="24"/>
      <c r="G14" s="24"/>
      <c r="H14" s="25"/>
    </row>
    <row r="15" ht="31.5" customHeight="1">
      <c r="A15" s="21" t="s">
        <v>21</v>
      </c>
      <c r="B15" s="22" t="s">
        <v>173</v>
      </c>
      <c r="C15" s="1"/>
      <c r="D15" s="23" t="s">
        <v>175</v>
      </c>
      <c r="E15" s="24"/>
      <c r="F15" s="24"/>
      <c r="G15" s="24"/>
      <c r="H15" s="25"/>
    </row>
    <row r="16" ht="31.5" customHeight="1">
      <c r="A16" s="21" t="s">
        <v>30</v>
      </c>
      <c r="B16" s="22" t="s">
        <v>177</v>
      </c>
      <c r="C16" s="1"/>
      <c r="D16" s="23" t="s">
        <v>178</v>
      </c>
      <c r="E16" s="24"/>
      <c r="F16" s="24"/>
      <c r="G16" s="24"/>
      <c r="H16" s="25"/>
    </row>
    <row r="17" ht="31.5" customHeight="1">
      <c r="A17" s="21" t="s">
        <v>24</v>
      </c>
      <c r="B17" s="22" t="s">
        <v>179</v>
      </c>
      <c r="C17" s="1"/>
      <c r="D17" s="23" t="s">
        <v>180</v>
      </c>
      <c r="E17" s="24"/>
      <c r="F17" s="24"/>
      <c r="G17" s="24"/>
      <c r="H17" s="25"/>
    </row>
    <row r="18" ht="31.5" customHeight="1">
      <c r="A18" s="21" t="s">
        <v>181</v>
      </c>
      <c r="B18" s="22" t="s">
        <v>182</v>
      </c>
      <c r="C18" s="1"/>
      <c r="D18" s="23" t="s">
        <v>183</v>
      </c>
      <c r="E18" s="24"/>
      <c r="F18" s="24"/>
      <c r="G18" s="24"/>
      <c r="H18" s="25"/>
    </row>
    <row r="19">
      <c r="A19" s="1"/>
      <c r="B19" s="1"/>
      <c r="C19" s="1"/>
      <c r="D19" s="1"/>
      <c r="E19" s="1"/>
      <c r="F19" s="1"/>
      <c r="G19" s="1"/>
      <c r="H19" s="1"/>
    </row>
    <row r="20">
      <c r="A20" s="1"/>
      <c r="B20" s="1"/>
      <c r="C20" s="1"/>
      <c r="D20" s="1"/>
      <c r="E20" s="1"/>
      <c r="F20" s="1"/>
      <c r="G20" s="1"/>
      <c r="H20" s="1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8">
    <mergeCell ref="A2:H2"/>
    <mergeCell ref="A13:B13"/>
    <mergeCell ref="D13:H13"/>
    <mergeCell ref="D14:H14"/>
    <mergeCell ref="D15:H15"/>
    <mergeCell ref="D16:H16"/>
    <mergeCell ref="D17:H17"/>
    <mergeCell ref="D18:H18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F6F78"/>
    <pageSetUpPr/>
  </sheetPr>
  <sheetViews>
    <sheetView showGridLines="0" workbookViewId="0">
      <pane xSplit="1.0" ySplit="10.0" topLeftCell="B11" activePane="bottomRight" state="frozen"/>
      <selection activeCell="B1" sqref="B1" pane="topRight"/>
      <selection activeCell="A11" sqref="A11" pane="bottomLeft"/>
      <selection activeCell="B11" sqref="B11" pane="bottomRight"/>
    </sheetView>
  </sheetViews>
  <sheetFormatPr customHeight="1" defaultColWidth="12.63" defaultRowHeight="15.0"/>
  <cols>
    <col customWidth="1" min="1" max="1" width="7.13"/>
    <col customWidth="1" min="2" max="2" width="12.25"/>
    <col customWidth="1" min="3" max="3" width="11.63"/>
    <col customWidth="1" min="4" max="4" width="28.88"/>
    <col customWidth="1" min="5" max="5" width="10.63"/>
    <col customWidth="1" min="6" max="6" width="19.25"/>
    <col customWidth="1" min="7" max="7" width="16.5"/>
    <col customWidth="1" min="8" max="8" width="16.63"/>
    <col customWidth="1" min="9" max="9" width="33.38"/>
    <col customWidth="1" min="10" max="10" width="36.63"/>
    <col customWidth="1" min="11" max="11" width="33.38"/>
    <col customWidth="1" min="12" max="12" width="31.63"/>
    <col customWidth="1" min="13" max="13" width="16.13"/>
    <col customWidth="1" min="14" max="14" width="32.25"/>
    <col customWidth="1" min="15" max="26" width="8.63"/>
  </cols>
  <sheetData>
    <row r="2" ht="22.5" customHeight="1">
      <c r="A2" s="2" t="s">
        <v>101</v>
      </c>
    </row>
    <row r="4" ht="31.5" customHeight="1">
      <c r="A4" s="15" t="s">
        <v>114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7"/>
    </row>
    <row r="6" ht="25.5" customHeight="1">
      <c r="A6" s="18" t="s">
        <v>148</v>
      </c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7"/>
    </row>
    <row r="10" ht="36.0" customHeight="1">
      <c r="A10" s="20" t="s">
        <v>2</v>
      </c>
      <c r="B10" s="20" t="s">
        <v>10</v>
      </c>
      <c r="C10" s="20" t="s">
        <v>11</v>
      </c>
      <c r="D10" s="20" t="s">
        <v>12</v>
      </c>
      <c r="E10" s="20" t="s">
        <v>167</v>
      </c>
      <c r="F10" s="20" t="s">
        <v>168</v>
      </c>
      <c r="G10" s="20" t="s">
        <v>169</v>
      </c>
      <c r="H10" s="20" t="s">
        <v>14</v>
      </c>
      <c r="I10" s="20" t="s">
        <v>170</v>
      </c>
      <c r="J10" s="20" t="s">
        <v>171</v>
      </c>
      <c r="K10" s="20" t="s">
        <v>172</v>
      </c>
      <c r="L10" s="20" t="s">
        <v>174</v>
      </c>
      <c r="M10" s="20" t="s">
        <v>15</v>
      </c>
      <c r="N10" s="20" t="s">
        <v>176</v>
      </c>
    </row>
    <row r="11" ht="78.0" customHeight="1">
      <c r="A11" s="26" t="s">
        <v>17</v>
      </c>
      <c r="B11" s="27" t="s">
        <v>18</v>
      </c>
      <c r="C11" s="27" t="s">
        <v>19</v>
      </c>
      <c r="D11" s="28" t="s">
        <v>20</v>
      </c>
      <c r="E11" s="29" t="s">
        <v>21</v>
      </c>
      <c r="F11" s="30" t="s">
        <v>184</v>
      </c>
      <c r="G11" s="30" t="s">
        <v>185</v>
      </c>
      <c r="H11" s="31" t="s">
        <v>25</v>
      </c>
      <c r="I11" s="28" t="s">
        <v>186</v>
      </c>
      <c r="J11" s="28" t="s">
        <v>187</v>
      </c>
      <c r="K11" s="28" t="s">
        <v>27</v>
      </c>
      <c r="L11" s="28" t="s">
        <v>188</v>
      </c>
      <c r="M11" s="28" t="s">
        <v>26</v>
      </c>
      <c r="N11" s="32" t="s">
        <v>189</v>
      </c>
    </row>
    <row r="12" ht="78.0" customHeight="1">
      <c r="A12" s="26" t="s">
        <v>28</v>
      </c>
      <c r="B12" s="27" t="s">
        <v>18</v>
      </c>
      <c r="C12" s="27" t="s">
        <v>19</v>
      </c>
      <c r="D12" s="28" t="s">
        <v>29</v>
      </c>
      <c r="E12" s="29" t="s">
        <v>30</v>
      </c>
      <c r="F12" s="30" t="s">
        <v>190</v>
      </c>
      <c r="G12" s="30" t="s">
        <v>191</v>
      </c>
      <c r="H12" s="31" t="s">
        <v>31</v>
      </c>
      <c r="I12" s="28" t="s">
        <v>192</v>
      </c>
      <c r="J12" s="28" t="s">
        <v>193</v>
      </c>
      <c r="K12" s="28" t="s">
        <v>32</v>
      </c>
      <c r="L12" s="28" t="s">
        <v>194</v>
      </c>
      <c r="M12" s="28" t="s">
        <v>17</v>
      </c>
      <c r="N12" s="32" t="s">
        <v>195</v>
      </c>
    </row>
    <row r="13" ht="78.0" customHeight="1">
      <c r="A13" s="26" t="s">
        <v>33</v>
      </c>
      <c r="B13" s="27" t="s">
        <v>34</v>
      </c>
      <c r="C13" s="27" t="s">
        <v>19</v>
      </c>
      <c r="D13" s="28" t="s">
        <v>35</v>
      </c>
      <c r="E13" s="29" t="s">
        <v>21</v>
      </c>
      <c r="F13" s="30" t="s">
        <v>184</v>
      </c>
      <c r="G13" s="30" t="s">
        <v>185</v>
      </c>
      <c r="H13" s="31" t="s">
        <v>25</v>
      </c>
      <c r="I13" s="28" t="s">
        <v>196</v>
      </c>
      <c r="J13" s="28" t="s">
        <v>197</v>
      </c>
      <c r="K13" s="28" t="s">
        <v>37</v>
      </c>
      <c r="L13" s="28" t="s">
        <v>198</v>
      </c>
      <c r="M13" s="28" t="s">
        <v>36</v>
      </c>
      <c r="N13" s="32" t="s">
        <v>199</v>
      </c>
    </row>
    <row r="14" ht="78.0" customHeight="1">
      <c r="A14" s="26" t="s">
        <v>38</v>
      </c>
      <c r="B14" s="27" t="s">
        <v>39</v>
      </c>
      <c r="C14" s="27" t="s">
        <v>19</v>
      </c>
      <c r="D14" s="28" t="s">
        <v>42</v>
      </c>
      <c r="E14" s="29" t="s">
        <v>21</v>
      </c>
      <c r="F14" s="30" t="s">
        <v>184</v>
      </c>
      <c r="G14" s="30" t="s">
        <v>200</v>
      </c>
      <c r="H14" s="31" t="s">
        <v>25</v>
      </c>
      <c r="I14" s="28" t="s">
        <v>201</v>
      </c>
      <c r="J14" s="28" t="s">
        <v>202</v>
      </c>
      <c r="K14" s="28" t="s">
        <v>44</v>
      </c>
      <c r="L14" s="28" t="s">
        <v>203</v>
      </c>
      <c r="M14" s="28" t="s">
        <v>43</v>
      </c>
      <c r="N14" s="32" t="s">
        <v>204</v>
      </c>
    </row>
    <row r="15" ht="78.0" customHeight="1">
      <c r="A15" s="26" t="s">
        <v>43</v>
      </c>
      <c r="B15" s="27" t="s">
        <v>45</v>
      </c>
      <c r="C15" s="27" t="s">
        <v>19</v>
      </c>
      <c r="D15" s="28" t="s">
        <v>46</v>
      </c>
      <c r="E15" s="29" t="s">
        <v>21</v>
      </c>
      <c r="F15" s="30" t="s">
        <v>184</v>
      </c>
      <c r="G15" s="30" t="s">
        <v>200</v>
      </c>
      <c r="H15" s="31" t="s">
        <v>25</v>
      </c>
      <c r="I15" s="28" t="s">
        <v>205</v>
      </c>
      <c r="J15" s="28" t="s">
        <v>206</v>
      </c>
      <c r="K15" s="28" t="s">
        <v>47</v>
      </c>
      <c r="L15" s="28" t="s">
        <v>207</v>
      </c>
      <c r="M15" s="28" t="s">
        <v>38</v>
      </c>
      <c r="N15" s="32" t="s">
        <v>208</v>
      </c>
    </row>
    <row r="16" ht="78.0" customHeight="1">
      <c r="A16" s="26" t="s">
        <v>48</v>
      </c>
      <c r="B16" s="27" t="s">
        <v>49</v>
      </c>
      <c r="C16" s="27" t="s">
        <v>50</v>
      </c>
      <c r="D16" s="28" t="s">
        <v>51</v>
      </c>
      <c r="E16" s="29" t="s">
        <v>21</v>
      </c>
      <c r="F16" s="30" t="s">
        <v>184</v>
      </c>
      <c r="G16" s="30" t="s">
        <v>191</v>
      </c>
      <c r="H16" s="31" t="s">
        <v>25</v>
      </c>
      <c r="I16" s="28" t="s">
        <v>209</v>
      </c>
      <c r="J16" s="28" t="s">
        <v>210</v>
      </c>
      <c r="K16" s="28" t="s">
        <v>53</v>
      </c>
      <c r="L16" s="28" t="s">
        <v>211</v>
      </c>
      <c r="M16" s="28" t="s">
        <v>52</v>
      </c>
      <c r="N16" s="32" t="s">
        <v>212</v>
      </c>
    </row>
    <row r="17" ht="78.0" customHeight="1">
      <c r="A17" s="26" t="s">
        <v>54</v>
      </c>
      <c r="B17" s="27" t="s">
        <v>55</v>
      </c>
      <c r="C17" s="27" t="s">
        <v>50</v>
      </c>
      <c r="D17" s="28" t="s">
        <v>57</v>
      </c>
      <c r="E17" s="29" t="s">
        <v>21</v>
      </c>
      <c r="F17" s="30" t="s">
        <v>213</v>
      </c>
      <c r="G17" s="30" t="s">
        <v>200</v>
      </c>
      <c r="H17" s="31" t="s">
        <v>25</v>
      </c>
      <c r="I17" s="28" t="s">
        <v>214</v>
      </c>
      <c r="J17" s="28" t="s">
        <v>215</v>
      </c>
      <c r="K17" s="28" t="s">
        <v>60</v>
      </c>
      <c r="L17" s="28" t="s">
        <v>216</v>
      </c>
      <c r="M17" s="28" t="s">
        <v>59</v>
      </c>
      <c r="N17" s="32" t="s">
        <v>217</v>
      </c>
    </row>
    <row r="18" ht="78.0" customHeight="1">
      <c r="A18" s="26" t="s">
        <v>61</v>
      </c>
      <c r="B18" s="27" t="s">
        <v>62</v>
      </c>
      <c r="C18" s="27" t="s">
        <v>63</v>
      </c>
      <c r="D18" s="33" t="s">
        <v>218</v>
      </c>
      <c r="E18" s="29" t="s">
        <v>21</v>
      </c>
      <c r="F18" s="30" t="s">
        <v>213</v>
      </c>
      <c r="G18" s="30" t="s">
        <v>191</v>
      </c>
      <c r="H18" s="31" t="s">
        <v>25</v>
      </c>
      <c r="I18" s="28" t="s">
        <v>219</v>
      </c>
      <c r="J18" s="28" t="s">
        <v>220</v>
      </c>
      <c r="K18" s="28" t="s">
        <v>66</v>
      </c>
      <c r="L18" s="28" t="s">
        <v>221</v>
      </c>
      <c r="M18" s="28" t="s">
        <v>65</v>
      </c>
      <c r="N18" s="32" t="s">
        <v>222</v>
      </c>
    </row>
    <row r="19" ht="78.0" customHeight="1">
      <c r="A19" s="26" t="s">
        <v>67</v>
      </c>
      <c r="B19" s="27" t="s">
        <v>68</v>
      </c>
      <c r="C19" s="27" t="s">
        <v>50</v>
      </c>
      <c r="D19" s="28" t="s">
        <v>69</v>
      </c>
      <c r="E19" s="29" t="s">
        <v>21</v>
      </c>
      <c r="F19" s="30" t="s">
        <v>213</v>
      </c>
      <c r="G19" s="30" t="s">
        <v>223</v>
      </c>
      <c r="H19" s="31" t="s">
        <v>25</v>
      </c>
      <c r="I19" s="28" t="s">
        <v>224</v>
      </c>
      <c r="J19" s="28" t="s">
        <v>225</v>
      </c>
      <c r="K19" s="28" t="s">
        <v>71</v>
      </c>
      <c r="L19" s="28" t="s">
        <v>226</v>
      </c>
      <c r="M19" s="28" t="s">
        <v>70</v>
      </c>
      <c r="N19" s="32" t="s">
        <v>227</v>
      </c>
    </row>
    <row r="20" ht="78.0" customHeight="1">
      <c r="A20" s="26" t="s">
        <v>72</v>
      </c>
      <c r="B20" s="27" t="s">
        <v>73</v>
      </c>
      <c r="C20" s="27" t="s">
        <v>19</v>
      </c>
      <c r="D20" s="28" t="s">
        <v>74</v>
      </c>
      <c r="E20" s="29" t="s">
        <v>21</v>
      </c>
      <c r="F20" s="29" t="s">
        <v>213</v>
      </c>
      <c r="G20" s="30" t="s">
        <v>228</v>
      </c>
      <c r="H20" s="31" t="s">
        <v>25</v>
      </c>
      <c r="I20" s="28" t="s">
        <v>229</v>
      </c>
      <c r="J20" s="28" t="s">
        <v>230</v>
      </c>
      <c r="K20" s="28" t="s">
        <v>76</v>
      </c>
      <c r="L20" s="28" t="s">
        <v>231</v>
      </c>
      <c r="M20" s="28" t="s">
        <v>75</v>
      </c>
      <c r="N20" s="32" t="s">
        <v>232</v>
      </c>
    </row>
    <row r="21" ht="78.0" customHeight="1">
      <c r="A21" s="26" t="s">
        <v>77</v>
      </c>
      <c r="B21" s="27" t="s">
        <v>78</v>
      </c>
      <c r="C21" s="27" t="s">
        <v>79</v>
      </c>
      <c r="D21" s="28" t="s">
        <v>80</v>
      </c>
      <c r="E21" s="29" t="s">
        <v>24</v>
      </c>
      <c r="F21" s="30" t="s">
        <v>190</v>
      </c>
      <c r="G21" s="30" t="s">
        <v>185</v>
      </c>
      <c r="H21" s="31" t="s">
        <v>31</v>
      </c>
      <c r="I21" s="28" t="s">
        <v>233</v>
      </c>
      <c r="J21" s="28" t="s">
        <v>234</v>
      </c>
      <c r="K21" s="28" t="s">
        <v>83</v>
      </c>
      <c r="L21" s="28" t="s">
        <v>235</v>
      </c>
      <c r="M21" s="28" t="s">
        <v>82</v>
      </c>
      <c r="N21" s="32" t="s">
        <v>236</v>
      </c>
    </row>
    <row r="22" ht="78.0" customHeight="1">
      <c r="A22" s="26" t="s">
        <v>85</v>
      </c>
      <c r="B22" s="27" t="s">
        <v>86</v>
      </c>
      <c r="C22" s="27" t="s">
        <v>79</v>
      </c>
      <c r="D22" s="28" t="s">
        <v>88</v>
      </c>
      <c r="E22" s="29" t="s">
        <v>87</v>
      </c>
      <c r="F22" s="30" t="s">
        <v>213</v>
      </c>
      <c r="G22" s="30" t="s">
        <v>191</v>
      </c>
      <c r="H22" s="31" t="s">
        <v>89</v>
      </c>
      <c r="I22" s="28" t="s">
        <v>237</v>
      </c>
      <c r="J22" s="28" t="s">
        <v>238</v>
      </c>
      <c r="K22" s="28" t="s">
        <v>91</v>
      </c>
      <c r="L22" s="28" t="s">
        <v>239</v>
      </c>
      <c r="M22" s="28" t="s">
        <v>90</v>
      </c>
      <c r="N22" s="32" t="s">
        <v>240</v>
      </c>
    </row>
    <row r="23" ht="78.0" customHeight="1">
      <c r="A23" s="26" t="s">
        <v>92</v>
      </c>
      <c r="B23" s="27" t="s">
        <v>93</v>
      </c>
      <c r="C23" s="27" t="s">
        <v>79</v>
      </c>
      <c r="D23" s="28" t="s">
        <v>94</v>
      </c>
      <c r="E23" s="29" t="s">
        <v>24</v>
      </c>
      <c r="F23" s="30" t="s">
        <v>190</v>
      </c>
      <c r="G23" s="30" t="s">
        <v>191</v>
      </c>
      <c r="H23" s="31" t="s">
        <v>31</v>
      </c>
      <c r="I23" s="28" t="s">
        <v>241</v>
      </c>
      <c r="J23" s="28" t="s">
        <v>242</v>
      </c>
      <c r="K23" s="28" t="s">
        <v>96</v>
      </c>
      <c r="L23" s="28" t="s">
        <v>243</v>
      </c>
      <c r="M23" s="28" t="s">
        <v>95</v>
      </c>
      <c r="N23" s="32" t="s">
        <v>244</v>
      </c>
    </row>
    <row r="24" ht="78.0" customHeight="1">
      <c r="A24" s="26" t="s">
        <v>97</v>
      </c>
      <c r="B24" s="27" t="s">
        <v>98</v>
      </c>
      <c r="C24" s="27" t="s">
        <v>99</v>
      </c>
      <c r="D24" s="28" t="s">
        <v>100</v>
      </c>
      <c r="E24" s="29" t="s">
        <v>87</v>
      </c>
      <c r="F24" s="29" t="s">
        <v>190</v>
      </c>
      <c r="G24" s="30" t="s">
        <v>191</v>
      </c>
      <c r="H24" s="31" t="s">
        <v>102</v>
      </c>
      <c r="I24" s="28" t="s">
        <v>245</v>
      </c>
      <c r="J24" s="28" t="s">
        <v>246</v>
      </c>
      <c r="K24" s="28" t="s">
        <v>104</v>
      </c>
      <c r="L24" s="28" t="s">
        <v>247</v>
      </c>
      <c r="M24" s="28" t="s">
        <v>103</v>
      </c>
      <c r="N24" s="32" t="s">
        <v>248</v>
      </c>
    </row>
    <row r="25" ht="78.0" customHeight="1">
      <c r="A25" s="26" t="s">
        <v>105</v>
      </c>
      <c r="B25" s="27" t="s">
        <v>98</v>
      </c>
      <c r="C25" s="27" t="s">
        <v>99</v>
      </c>
      <c r="D25" s="28" t="s">
        <v>107</v>
      </c>
      <c r="E25" s="29" t="s">
        <v>87</v>
      </c>
      <c r="F25" s="29" t="s">
        <v>190</v>
      </c>
      <c r="G25" s="29" t="s">
        <v>200</v>
      </c>
      <c r="H25" s="31" t="s">
        <v>89</v>
      </c>
      <c r="I25" s="28" t="s">
        <v>249</v>
      </c>
      <c r="J25" s="28" t="s">
        <v>250</v>
      </c>
      <c r="K25" s="28" t="s">
        <v>109</v>
      </c>
      <c r="L25" s="28" t="s">
        <v>251</v>
      </c>
      <c r="M25" s="28" t="s">
        <v>108</v>
      </c>
      <c r="N25" s="32" t="s">
        <v>252</v>
      </c>
    </row>
    <row r="26" ht="78.0" customHeight="1">
      <c r="A26" s="26" t="s">
        <v>110</v>
      </c>
      <c r="B26" s="27" t="s">
        <v>98</v>
      </c>
      <c r="C26" s="27" t="s">
        <v>111</v>
      </c>
      <c r="D26" s="28" t="s">
        <v>112</v>
      </c>
      <c r="E26" s="29" t="s">
        <v>87</v>
      </c>
      <c r="F26" s="29" t="s">
        <v>190</v>
      </c>
      <c r="G26" s="29" t="s">
        <v>185</v>
      </c>
      <c r="H26" s="31" t="s">
        <v>89</v>
      </c>
      <c r="I26" s="28" t="s">
        <v>253</v>
      </c>
      <c r="J26" s="28" t="s">
        <v>254</v>
      </c>
      <c r="K26" s="28" t="s">
        <v>116</v>
      </c>
      <c r="L26" s="28" t="s">
        <v>255</v>
      </c>
      <c r="M26" s="28" t="s">
        <v>115</v>
      </c>
      <c r="N26" s="32" t="s">
        <v>256</v>
      </c>
    </row>
    <row r="27" ht="78.0" customHeight="1">
      <c r="A27" s="26" t="s">
        <v>117</v>
      </c>
      <c r="B27" s="27" t="s">
        <v>98</v>
      </c>
      <c r="C27" s="27" t="s">
        <v>99</v>
      </c>
      <c r="D27" s="28" t="s">
        <v>118</v>
      </c>
      <c r="E27" s="29" t="s">
        <v>87</v>
      </c>
      <c r="F27" s="29" t="s">
        <v>190</v>
      </c>
      <c r="G27" s="29" t="s">
        <v>200</v>
      </c>
      <c r="H27" s="34" t="s">
        <v>119</v>
      </c>
      <c r="I27" s="28" t="s">
        <v>257</v>
      </c>
      <c r="J27" s="28" t="s">
        <v>258</v>
      </c>
      <c r="K27" s="28" t="s">
        <v>121</v>
      </c>
      <c r="L27" s="28" t="s">
        <v>259</v>
      </c>
      <c r="M27" s="28" t="s">
        <v>120</v>
      </c>
      <c r="N27" s="32" t="s">
        <v>260</v>
      </c>
    </row>
    <row r="28" ht="78.0" customHeight="1">
      <c r="A28" s="26" t="s">
        <v>122</v>
      </c>
      <c r="B28" s="27" t="s">
        <v>98</v>
      </c>
      <c r="C28" s="27" t="s">
        <v>99</v>
      </c>
      <c r="D28" s="28" t="s">
        <v>123</v>
      </c>
      <c r="E28" s="29" t="s">
        <v>87</v>
      </c>
      <c r="F28" s="29" t="s">
        <v>184</v>
      </c>
      <c r="G28" s="29" t="s">
        <v>200</v>
      </c>
      <c r="H28" s="31" t="s">
        <v>89</v>
      </c>
      <c r="I28" s="28" t="s">
        <v>261</v>
      </c>
      <c r="J28" s="28" t="s">
        <v>262</v>
      </c>
      <c r="K28" s="28" t="s">
        <v>125</v>
      </c>
      <c r="L28" s="28" t="s">
        <v>263</v>
      </c>
      <c r="M28" s="28" t="s">
        <v>124</v>
      </c>
      <c r="N28" s="32" t="s">
        <v>264</v>
      </c>
    </row>
    <row r="29" ht="78.0" customHeight="1">
      <c r="A29" s="26" t="s">
        <v>126</v>
      </c>
      <c r="B29" s="27" t="s">
        <v>98</v>
      </c>
      <c r="C29" s="27" t="s">
        <v>99</v>
      </c>
      <c r="D29" s="28" t="s">
        <v>128</v>
      </c>
      <c r="E29" s="29" t="s">
        <v>87</v>
      </c>
      <c r="F29" s="29" t="s">
        <v>190</v>
      </c>
      <c r="G29" s="29" t="s">
        <v>200</v>
      </c>
      <c r="H29" s="31" t="s">
        <v>89</v>
      </c>
      <c r="I29" s="28" t="s">
        <v>265</v>
      </c>
      <c r="J29" s="28" t="s">
        <v>266</v>
      </c>
      <c r="K29" s="28" t="s">
        <v>130</v>
      </c>
      <c r="L29" s="28" t="s">
        <v>267</v>
      </c>
      <c r="M29" s="28" t="s">
        <v>129</v>
      </c>
      <c r="N29" s="32" t="s">
        <v>268</v>
      </c>
    </row>
    <row r="30" ht="78.0" customHeight="1">
      <c r="A30" s="26" t="s">
        <v>131</v>
      </c>
      <c r="B30" s="27" t="s">
        <v>98</v>
      </c>
      <c r="C30" s="27" t="s">
        <v>132</v>
      </c>
      <c r="D30" s="28" t="s">
        <v>133</v>
      </c>
      <c r="E30" s="29" t="s">
        <v>87</v>
      </c>
      <c r="F30" s="29" t="s">
        <v>190</v>
      </c>
      <c r="G30" s="29" t="s">
        <v>200</v>
      </c>
      <c r="H30" s="31" t="s">
        <v>89</v>
      </c>
      <c r="I30" s="28" t="s">
        <v>269</v>
      </c>
      <c r="J30" s="28" t="s">
        <v>270</v>
      </c>
      <c r="K30" s="28" t="s">
        <v>135</v>
      </c>
      <c r="L30" s="28" t="s">
        <v>271</v>
      </c>
      <c r="M30" s="28" t="s">
        <v>134</v>
      </c>
      <c r="N30" s="32" t="s">
        <v>272</v>
      </c>
    </row>
    <row r="31" ht="78.0" customHeight="1">
      <c r="A31" s="26" t="s">
        <v>136</v>
      </c>
      <c r="B31" s="27" t="s">
        <v>98</v>
      </c>
      <c r="C31" s="27" t="s">
        <v>137</v>
      </c>
      <c r="D31" s="28" t="s">
        <v>138</v>
      </c>
      <c r="E31" s="29" t="s">
        <v>87</v>
      </c>
      <c r="F31" s="29" t="s">
        <v>184</v>
      </c>
      <c r="G31" s="29" t="s">
        <v>185</v>
      </c>
      <c r="H31" s="31" t="s">
        <v>102</v>
      </c>
      <c r="I31" s="28" t="s">
        <v>273</v>
      </c>
      <c r="J31" s="28" t="s">
        <v>274</v>
      </c>
      <c r="K31" s="28" t="s">
        <v>140</v>
      </c>
      <c r="L31" s="28" t="s">
        <v>275</v>
      </c>
      <c r="M31" s="28" t="s">
        <v>139</v>
      </c>
      <c r="N31" s="32" t="s">
        <v>276</v>
      </c>
    </row>
    <row r="32" ht="78.0" customHeight="1">
      <c r="A32" s="26" t="s">
        <v>141</v>
      </c>
      <c r="B32" s="27" t="s">
        <v>142</v>
      </c>
      <c r="C32" s="27" t="s">
        <v>99</v>
      </c>
      <c r="D32" s="28" t="s">
        <v>143</v>
      </c>
      <c r="E32" s="29" t="s">
        <v>24</v>
      </c>
      <c r="F32" s="30" t="s">
        <v>213</v>
      </c>
      <c r="G32" s="30" t="s">
        <v>200</v>
      </c>
      <c r="H32" s="31" t="s">
        <v>89</v>
      </c>
      <c r="I32" s="28" t="s">
        <v>277</v>
      </c>
      <c r="J32" s="28" t="s">
        <v>278</v>
      </c>
      <c r="K32" s="28" t="s">
        <v>145</v>
      </c>
      <c r="L32" s="28" t="s">
        <v>279</v>
      </c>
      <c r="M32" s="28" t="s">
        <v>144</v>
      </c>
      <c r="N32" s="32" t="s">
        <v>280</v>
      </c>
    </row>
    <row r="33" ht="78.0" customHeight="1">
      <c r="A33" s="26" t="s">
        <v>146</v>
      </c>
      <c r="B33" s="27" t="s">
        <v>142</v>
      </c>
      <c r="C33" s="27" t="s">
        <v>137</v>
      </c>
      <c r="D33" s="28" t="s">
        <v>147</v>
      </c>
      <c r="E33" s="29" t="s">
        <v>24</v>
      </c>
      <c r="F33" s="30" t="s">
        <v>213</v>
      </c>
      <c r="G33" s="30" t="s">
        <v>191</v>
      </c>
      <c r="H33" s="31" t="s">
        <v>102</v>
      </c>
      <c r="I33" s="28" t="s">
        <v>281</v>
      </c>
      <c r="J33" s="28" t="s">
        <v>282</v>
      </c>
      <c r="K33" s="28" t="s">
        <v>150</v>
      </c>
      <c r="L33" s="28" t="s">
        <v>283</v>
      </c>
      <c r="M33" s="28" t="s">
        <v>149</v>
      </c>
      <c r="N33" s="32" t="s">
        <v>284</v>
      </c>
    </row>
    <row r="34" ht="78.0" customHeight="1">
      <c r="A34" s="26" t="s">
        <v>151</v>
      </c>
      <c r="B34" s="27" t="s">
        <v>142</v>
      </c>
      <c r="C34" s="27" t="s">
        <v>152</v>
      </c>
      <c r="D34" s="28" t="s">
        <v>153</v>
      </c>
      <c r="E34" s="29" t="s">
        <v>24</v>
      </c>
      <c r="F34" s="30" t="s">
        <v>213</v>
      </c>
      <c r="G34" s="30" t="s">
        <v>200</v>
      </c>
      <c r="H34" s="31" t="s">
        <v>154</v>
      </c>
      <c r="I34" s="28" t="s">
        <v>285</v>
      </c>
      <c r="J34" s="28" t="s">
        <v>286</v>
      </c>
      <c r="K34" s="28" t="s">
        <v>156</v>
      </c>
      <c r="L34" s="28" t="s">
        <v>287</v>
      </c>
      <c r="M34" s="28" t="s">
        <v>155</v>
      </c>
      <c r="N34" s="32" t="s">
        <v>288</v>
      </c>
    </row>
    <row r="35" ht="78.0" customHeight="1">
      <c r="A35" s="26" t="s">
        <v>157</v>
      </c>
      <c r="B35" s="27" t="s">
        <v>158</v>
      </c>
      <c r="C35" s="27" t="s">
        <v>159</v>
      </c>
      <c r="D35" s="28" t="s">
        <v>160</v>
      </c>
      <c r="E35" s="29" t="s">
        <v>24</v>
      </c>
      <c r="F35" s="30" t="s">
        <v>184</v>
      </c>
      <c r="G35" s="30" t="s">
        <v>191</v>
      </c>
      <c r="H35" s="31" t="s">
        <v>25</v>
      </c>
      <c r="I35" s="28" t="s">
        <v>289</v>
      </c>
      <c r="J35" s="28" t="s">
        <v>290</v>
      </c>
      <c r="K35" s="28" t="s">
        <v>162</v>
      </c>
      <c r="L35" s="28" t="s">
        <v>291</v>
      </c>
      <c r="M35" s="28" t="s">
        <v>161</v>
      </c>
      <c r="N35" s="32" t="s">
        <v>292</v>
      </c>
    </row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ustomSheetViews>
    <customSheetView guid="{FF690A6A-5EC6-414C-9B61-4854A407024F}" filter="1" showAutoFilter="1">
      <autoFilter ref="$A$10:$N$35"/>
      <extLst>
        <ext uri="GoogleSheetsCustomDataVersion1">
          <go:sheetsCustomData xmlns:go="http://customooxmlschemas.google.com/" filterViewId="1365599144"/>
        </ext>
      </extLst>
    </customSheetView>
  </customSheetViews>
  <mergeCells count="3">
    <mergeCell ref="A2:N2"/>
    <mergeCell ref="A4:N4"/>
    <mergeCell ref="A6:N6"/>
  </mergeCells>
  <conditionalFormatting sqref="E11:E35">
    <cfRule type="containsText" dxfId="4" priority="1" operator="containsText" text="In progress">
      <formula>NOT(ISERROR(SEARCH(("In progress"),(E11))))</formula>
    </cfRule>
  </conditionalFormatting>
  <conditionalFormatting sqref="E11:E35">
    <cfRule type="containsText" dxfId="5" priority="2" operator="containsText" text="In review">
      <formula>NOT(ISERROR(SEARCH(("In review"),(E11))))</formula>
    </cfRule>
  </conditionalFormatting>
  <conditionalFormatting sqref="E11:E35">
    <cfRule type="containsText" dxfId="6" priority="3" operator="containsText" text="Ready">
      <formula>NOT(ISERROR(SEARCH(("Ready"),(E11))))</formula>
    </cfRule>
  </conditionalFormatting>
  <conditionalFormatting sqref="E11:E35">
    <cfRule type="containsText" dxfId="7" priority="4" operator="containsText" text="Backlog">
      <formula>NOT(ISERROR(SEARCH(("Backlog"),(E11))))</formula>
    </cfRule>
  </conditionalFormatting>
  <conditionalFormatting sqref="F11:F35">
    <cfRule type="containsText" dxfId="8" priority="5" operator="containsText" text="P0">
      <formula>NOT(ISERROR(SEARCH(("P0"),(F11))))</formula>
    </cfRule>
  </conditionalFormatting>
  <conditionalFormatting sqref="F11:G35">
    <cfRule type="containsText" dxfId="9" priority="6" operator="containsText" text="Sin definir">
      <formula>NOT(ISERROR(SEARCH(("Sin definir"),(F11))))</formula>
    </cfRule>
  </conditionalFormatting>
  <dataValidations>
    <dataValidation type="list" allowBlank="1" sqref="E11:E35">
      <formula1>"Backlog,Ready,In progress,In review,Done"</formula1>
    </dataValidation>
    <dataValidation type="list" allowBlank="1" sqref="F11:F35">
      <formula1>"P0,P1,P2,Sin definir"</formula1>
    </dataValidation>
    <dataValidation type="list" allowBlank="1" sqref="G11:G35">
      <formula1>"XS,S,M,L,XL,Sin definir"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F6F78"/>
    <pageSetUpPr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min="1" max="1" width="7.13"/>
    <col customWidth="1" min="2" max="2" width="12.25"/>
    <col customWidth="1" min="3" max="3" width="11.63"/>
    <col customWidth="1" min="4" max="4" width="34.5"/>
    <col customWidth="1" min="5" max="5" width="10.63"/>
    <col customWidth="1" min="6" max="7" width="17.25"/>
    <col customWidth="1" min="8" max="8" width="34.5"/>
    <col customWidth="1" min="9" max="26" width="8.63"/>
  </cols>
  <sheetData>
    <row r="2">
      <c r="A2" s="2" t="s">
        <v>0</v>
      </c>
    </row>
    <row r="4" ht="31.5" customHeight="1">
      <c r="A4" s="8" t="s">
        <v>2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</row>
    <row r="5" ht="52.5" customHeight="1">
      <c r="A5" s="9" t="s">
        <v>17</v>
      </c>
      <c r="B5" s="9" t="s">
        <v>18</v>
      </c>
      <c r="C5" s="9" t="s">
        <v>19</v>
      </c>
      <c r="D5" s="10" t="s">
        <v>20</v>
      </c>
      <c r="E5" s="12" t="s">
        <v>21</v>
      </c>
      <c r="F5" s="13" t="s">
        <v>25</v>
      </c>
      <c r="G5" s="10" t="s">
        <v>26</v>
      </c>
      <c r="H5" s="10" t="s">
        <v>27</v>
      </c>
    </row>
    <row r="6" ht="52.5" customHeight="1">
      <c r="A6" s="9" t="s">
        <v>28</v>
      </c>
      <c r="B6" s="9" t="s">
        <v>18</v>
      </c>
      <c r="C6" s="9" t="s">
        <v>19</v>
      </c>
      <c r="D6" s="10" t="s">
        <v>29</v>
      </c>
      <c r="E6" s="12" t="s">
        <v>30</v>
      </c>
      <c r="F6" s="13" t="s">
        <v>31</v>
      </c>
      <c r="G6" s="10" t="s">
        <v>17</v>
      </c>
      <c r="H6" s="10" t="s">
        <v>32</v>
      </c>
    </row>
    <row r="7" ht="52.5" customHeight="1">
      <c r="A7" s="9" t="s">
        <v>33</v>
      </c>
      <c r="B7" s="9" t="s">
        <v>34</v>
      </c>
      <c r="C7" s="9" t="s">
        <v>19</v>
      </c>
      <c r="D7" s="10" t="s">
        <v>35</v>
      </c>
      <c r="E7" s="12" t="s">
        <v>21</v>
      </c>
      <c r="F7" s="13" t="s">
        <v>25</v>
      </c>
      <c r="G7" s="10" t="s">
        <v>36</v>
      </c>
      <c r="H7" s="10" t="s">
        <v>37</v>
      </c>
    </row>
    <row r="8" ht="52.5" customHeight="1">
      <c r="A8" s="9" t="s">
        <v>38</v>
      </c>
      <c r="B8" s="9" t="s">
        <v>39</v>
      </c>
      <c r="C8" s="9" t="s">
        <v>19</v>
      </c>
      <c r="D8" s="10" t="s">
        <v>42</v>
      </c>
      <c r="E8" s="12" t="s">
        <v>21</v>
      </c>
      <c r="F8" s="13" t="s">
        <v>25</v>
      </c>
      <c r="G8" s="10" t="s">
        <v>43</v>
      </c>
      <c r="H8" s="10" t="s">
        <v>44</v>
      </c>
    </row>
    <row r="9" ht="52.5" customHeight="1">
      <c r="A9" s="9" t="s">
        <v>43</v>
      </c>
      <c r="B9" s="9" t="s">
        <v>45</v>
      </c>
      <c r="C9" s="9" t="s">
        <v>19</v>
      </c>
      <c r="D9" s="10" t="s">
        <v>46</v>
      </c>
      <c r="E9" s="12" t="s">
        <v>21</v>
      </c>
      <c r="F9" s="13" t="s">
        <v>25</v>
      </c>
      <c r="G9" s="10" t="s">
        <v>38</v>
      </c>
      <c r="H9" s="10" t="s">
        <v>47</v>
      </c>
    </row>
    <row r="10" ht="52.5" customHeight="1">
      <c r="A10" s="9" t="s">
        <v>48</v>
      </c>
      <c r="B10" s="9" t="s">
        <v>49</v>
      </c>
      <c r="C10" s="9" t="s">
        <v>50</v>
      </c>
      <c r="D10" s="10" t="s">
        <v>51</v>
      </c>
      <c r="E10" s="12" t="s">
        <v>21</v>
      </c>
      <c r="F10" s="13" t="s">
        <v>25</v>
      </c>
      <c r="G10" s="10" t="s">
        <v>52</v>
      </c>
      <c r="H10" s="10" t="s">
        <v>53</v>
      </c>
    </row>
    <row r="11" ht="52.5" customHeight="1">
      <c r="A11" s="9" t="s">
        <v>54</v>
      </c>
      <c r="B11" s="9" t="s">
        <v>55</v>
      </c>
      <c r="C11" s="9" t="s">
        <v>50</v>
      </c>
      <c r="D11" s="10" t="s">
        <v>57</v>
      </c>
      <c r="E11" s="12" t="s">
        <v>21</v>
      </c>
      <c r="F11" s="13" t="s">
        <v>25</v>
      </c>
      <c r="G11" s="10" t="s">
        <v>59</v>
      </c>
      <c r="H11" s="10" t="s">
        <v>60</v>
      </c>
    </row>
    <row r="12" ht="52.5" customHeight="1">
      <c r="A12" s="9" t="s">
        <v>61</v>
      </c>
      <c r="B12" s="9" t="s">
        <v>62</v>
      </c>
      <c r="C12" s="9" t="s">
        <v>63</v>
      </c>
      <c r="D12" s="10" t="s">
        <v>64</v>
      </c>
      <c r="E12" s="12" t="s">
        <v>21</v>
      </c>
      <c r="F12" s="13" t="s">
        <v>25</v>
      </c>
      <c r="G12" s="10" t="s">
        <v>65</v>
      </c>
      <c r="H12" s="10" t="s">
        <v>66</v>
      </c>
    </row>
    <row r="13" ht="52.5" customHeight="1">
      <c r="A13" s="9" t="s">
        <v>67</v>
      </c>
      <c r="B13" s="9" t="s">
        <v>68</v>
      </c>
      <c r="C13" s="9" t="s">
        <v>50</v>
      </c>
      <c r="D13" s="10" t="s">
        <v>69</v>
      </c>
      <c r="E13" s="12" t="s">
        <v>21</v>
      </c>
      <c r="F13" s="13" t="s">
        <v>25</v>
      </c>
      <c r="G13" s="10" t="s">
        <v>70</v>
      </c>
      <c r="H13" s="10" t="s">
        <v>71</v>
      </c>
    </row>
    <row r="14" ht="52.5" customHeight="1">
      <c r="A14" s="9" t="s">
        <v>72</v>
      </c>
      <c r="B14" s="9" t="s">
        <v>73</v>
      </c>
      <c r="C14" s="9" t="s">
        <v>19</v>
      </c>
      <c r="D14" s="10" t="s">
        <v>74</v>
      </c>
      <c r="E14" s="12" t="s">
        <v>21</v>
      </c>
      <c r="F14" s="13" t="s">
        <v>25</v>
      </c>
      <c r="G14" s="10" t="s">
        <v>75</v>
      </c>
      <c r="H14" s="10" t="s">
        <v>76</v>
      </c>
    </row>
    <row r="15" ht="52.5" customHeight="1">
      <c r="A15" s="9" t="s">
        <v>77</v>
      </c>
      <c r="B15" s="9" t="s">
        <v>78</v>
      </c>
      <c r="C15" s="9" t="s">
        <v>79</v>
      </c>
      <c r="D15" s="10" t="s">
        <v>80</v>
      </c>
      <c r="E15" s="12" t="s">
        <v>24</v>
      </c>
      <c r="F15" s="13" t="s">
        <v>31</v>
      </c>
      <c r="G15" s="10" t="s">
        <v>82</v>
      </c>
      <c r="H15" s="10" t="s">
        <v>83</v>
      </c>
    </row>
    <row r="16" ht="52.5" customHeight="1">
      <c r="A16" s="9" t="s">
        <v>85</v>
      </c>
      <c r="B16" s="9" t="s">
        <v>86</v>
      </c>
      <c r="C16" s="9" t="s">
        <v>79</v>
      </c>
      <c r="D16" s="10" t="s">
        <v>88</v>
      </c>
      <c r="E16" s="12" t="s">
        <v>87</v>
      </c>
      <c r="F16" s="13" t="s">
        <v>89</v>
      </c>
      <c r="G16" s="10" t="s">
        <v>90</v>
      </c>
      <c r="H16" s="10" t="s">
        <v>91</v>
      </c>
    </row>
    <row r="17" ht="52.5" customHeight="1">
      <c r="A17" s="9" t="s">
        <v>92</v>
      </c>
      <c r="B17" s="9" t="s">
        <v>93</v>
      </c>
      <c r="C17" s="9" t="s">
        <v>79</v>
      </c>
      <c r="D17" s="10" t="s">
        <v>94</v>
      </c>
      <c r="E17" s="12" t="s">
        <v>24</v>
      </c>
      <c r="F17" s="13" t="s">
        <v>31</v>
      </c>
      <c r="G17" s="10" t="s">
        <v>95</v>
      </c>
      <c r="H17" s="10" t="s">
        <v>96</v>
      </c>
    </row>
    <row r="18" ht="52.5" customHeight="1">
      <c r="A18" s="9" t="s">
        <v>97</v>
      </c>
      <c r="B18" s="9" t="s">
        <v>98</v>
      </c>
      <c r="C18" s="9" t="s">
        <v>99</v>
      </c>
      <c r="D18" s="10" t="s">
        <v>100</v>
      </c>
      <c r="E18" s="12" t="s">
        <v>87</v>
      </c>
      <c r="F18" s="13" t="s">
        <v>102</v>
      </c>
      <c r="G18" s="10" t="s">
        <v>103</v>
      </c>
      <c r="H18" s="10" t="s">
        <v>104</v>
      </c>
    </row>
    <row r="19" ht="52.5" customHeight="1">
      <c r="A19" s="9" t="s">
        <v>105</v>
      </c>
      <c r="B19" s="9" t="s">
        <v>98</v>
      </c>
      <c r="C19" s="9" t="s">
        <v>99</v>
      </c>
      <c r="D19" s="10" t="s">
        <v>107</v>
      </c>
      <c r="E19" s="12" t="s">
        <v>87</v>
      </c>
      <c r="F19" s="13" t="s">
        <v>89</v>
      </c>
      <c r="G19" s="10" t="s">
        <v>108</v>
      </c>
      <c r="H19" s="10" t="s">
        <v>109</v>
      </c>
    </row>
    <row r="20" ht="52.5" customHeight="1">
      <c r="A20" s="9" t="s">
        <v>110</v>
      </c>
      <c r="B20" s="9" t="s">
        <v>98</v>
      </c>
      <c r="C20" s="9" t="s">
        <v>111</v>
      </c>
      <c r="D20" s="10" t="s">
        <v>112</v>
      </c>
      <c r="E20" s="12" t="s">
        <v>87</v>
      </c>
      <c r="F20" s="13" t="s">
        <v>89</v>
      </c>
      <c r="G20" s="10" t="s">
        <v>115</v>
      </c>
      <c r="H20" s="10" t="s">
        <v>116</v>
      </c>
    </row>
    <row r="21" ht="52.5" customHeight="1">
      <c r="A21" s="9" t="s">
        <v>117</v>
      </c>
      <c r="B21" s="9" t="s">
        <v>98</v>
      </c>
      <c r="C21" s="9" t="s">
        <v>99</v>
      </c>
      <c r="D21" s="10" t="s">
        <v>118</v>
      </c>
      <c r="E21" s="12" t="s">
        <v>87</v>
      </c>
      <c r="F21" s="12" t="s">
        <v>119</v>
      </c>
      <c r="G21" s="10" t="s">
        <v>120</v>
      </c>
      <c r="H21" s="10" t="s">
        <v>121</v>
      </c>
    </row>
    <row r="22" ht="52.5" customHeight="1">
      <c r="A22" s="9" t="s">
        <v>122</v>
      </c>
      <c r="B22" s="9" t="s">
        <v>98</v>
      </c>
      <c r="C22" s="9" t="s">
        <v>99</v>
      </c>
      <c r="D22" s="10" t="s">
        <v>123</v>
      </c>
      <c r="E22" s="12" t="s">
        <v>87</v>
      </c>
      <c r="F22" s="13" t="s">
        <v>89</v>
      </c>
      <c r="G22" s="10" t="s">
        <v>124</v>
      </c>
      <c r="H22" s="10" t="s">
        <v>125</v>
      </c>
    </row>
    <row r="23" ht="52.5" customHeight="1">
      <c r="A23" s="9" t="s">
        <v>126</v>
      </c>
      <c r="B23" s="9" t="s">
        <v>98</v>
      </c>
      <c r="C23" s="9" t="s">
        <v>99</v>
      </c>
      <c r="D23" s="10" t="s">
        <v>128</v>
      </c>
      <c r="E23" s="12" t="s">
        <v>87</v>
      </c>
      <c r="F23" s="13" t="s">
        <v>89</v>
      </c>
      <c r="G23" s="10" t="s">
        <v>129</v>
      </c>
      <c r="H23" s="10" t="s">
        <v>130</v>
      </c>
    </row>
    <row r="24" ht="52.5" customHeight="1">
      <c r="A24" s="9" t="s">
        <v>131</v>
      </c>
      <c r="B24" s="9" t="s">
        <v>98</v>
      </c>
      <c r="C24" s="9" t="s">
        <v>132</v>
      </c>
      <c r="D24" s="10" t="s">
        <v>133</v>
      </c>
      <c r="E24" s="12" t="s">
        <v>87</v>
      </c>
      <c r="F24" s="13" t="s">
        <v>89</v>
      </c>
      <c r="G24" s="10" t="s">
        <v>134</v>
      </c>
      <c r="H24" s="10" t="s">
        <v>135</v>
      </c>
    </row>
    <row r="25" ht="52.5" customHeight="1">
      <c r="A25" s="9" t="s">
        <v>136</v>
      </c>
      <c r="B25" s="9" t="s">
        <v>98</v>
      </c>
      <c r="C25" s="9" t="s">
        <v>137</v>
      </c>
      <c r="D25" s="10" t="s">
        <v>138</v>
      </c>
      <c r="E25" s="12" t="s">
        <v>87</v>
      </c>
      <c r="F25" s="13" t="s">
        <v>102</v>
      </c>
      <c r="G25" s="10" t="s">
        <v>139</v>
      </c>
      <c r="H25" s="10" t="s">
        <v>140</v>
      </c>
    </row>
    <row r="26" ht="52.5" customHeight="1">
      <c r="A26" s="9" t="s">
        <v>141</v>
      </c>
      <c r="B26" s="9" t="s">
        <v>142</v>
      </c>
      <c r="C26" s="9" t="s">
        <v>99</v>
      </c>
      <c r="D26" s="10" t="s">
        <v>143</v>
      </c>
      <c r="E26" s="12" t="s">
        <v>24</v>
      </c>
      <c r="F26" s="13" t="s">
        <v>89</v>
      </c>
      <c r="G26" s="10" t="s">
        <v>144</v>
      </c>
      <c r="H26" s="10" t="s">
        <v>145</v>
      </c>
    </row>
    <row r="27" ht="52.5" customHeight="1">
      <c r="A27" s="9" t="s">
        <v>146</v>
      </c>
      <c r="B27" s="9" t="s">
        <v>142</v>
      </c>
      <c r="C27" s="9" t="s">
        <v>137</v>
      </c>
      <c r="D27" s="10" t="s">
        <v>147</v>
      </c>
      <c r="E27" s="12" t="s">
        <v>24</v>
      </c>
      <c r="F27" s="13" t="s">
        <v>102</v>
      </c>
      <c r="G27" s="10" t="s">
        <v>149</v>
      </c>
      <c r="H27" s="10" t="s">
        <v>150</v>
      </c>
    </row>
    <row r="28" ht="52.5" customHeight="1">
      <c r="A28" s="9" t="s">
        <v>151</v>
      </c>
      <c r="B28" s="9" t="s">
        <v>142</v>
      </c>
      <c r="C28" s="9" t="s">
        <v>152</v>
      </c>
      <c r="D28" s="10" t="s">
        <v>153</v>
      </c>
      <c r="E28" s="12" t="s">
        <v>24</v>
      </c>
      <c r="F28" s="13" t="s">
        <v>154</v>
      </c>
      <c r="G28" s="10" t="s">
        <v>155</v>
      </c>
      <c r="H28" s="10" t="s">
        <v>156</v>
      </c>
    </row>
    <row r="29" ht="52.5" customHeight="1">
      <c r="A29" s="9" t="s">
        <v>157</v>
      </c>
      <c r="B29" s="9" t="s">
        <v>158</v>
      </c>
      <c r="C29" s="9" t="s">
        <v>159</v>
      </c>
      <c r="D29" s="10" t="s">
        <v>160</v>
      </c>
      <c r="E29" s="12" t="s">
        <v>24</v>
      </c>
      <c r="F29" s="13" t="s">
        <v>25</v>
      </c>
      <c r="G29" s="10" t="s">
        <v>161</v>
      </c>
      <c r="H29" s="10" t="s">
        <v>162</v>
      </c>
    </row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2:H2"/>
  </mergeCells>
  <conditionalFormatting sqref="E5:E29">
    <cfRule type="containsText" dxfId="4" priority="1" operator="containsText" text="In progress">
      <formula>NOT(ISERROR(SEARCH(("In progress"),(E5))))</formula>
    </cfRule>
  </conditionalFormatting>
  <conditionalFormatting sqref="E5:E29">
    <cfRule type="containsText" dxfId="5" priority="2" operator="containsText" text="In review">
      <formula>NOT(ISERROR(SEARCH(("In review"),(E5))))</formula>
    </cfRule>
  </conditionalFormatting>
  <conditionalFormatting sqref="E5:E29">
    <cfRule type="containsText" dxfId="6" priority="3" operator="containsText" text="Ready">
      <formula>NOT(ISERROR(SEARCH(("Ready"),(E5))))</formula>
    </cfRule>
  </conditionalFormatting>
  <conditionalFormatting sqref="E5:E29">
    <cfRule type="containsText" dxfId="7" priority="4" operator="containsText" text="Backlog">
      <formula>NOT(ISERROR(SEARCH(("Backlog"),(E5))))</formula>
    </cfRule>
  </conditionalFormatting>
  <printOptions/>
  <pageMargins bottom="0.75" footer="0.0" header="0.0" left="0.7" right="0.7" top="0.75"/>
  <pageSetup orientation="landscape"/>
  <drawing r:id="rId1"/>
</worksheet>
</file>